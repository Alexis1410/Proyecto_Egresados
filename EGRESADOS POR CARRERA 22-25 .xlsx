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SEG-EGRESADOS\Sistem-Egresados\"/>
    </mc:Choice>
  </mc:AlternateContent>
  <xr:revisionPtr revIDLastSave="0" documentId="13_ncr:1_{5E934E99-2753-4364-A62C-3758B64A4FA9}" xr6:coauthVersionLast="47" xr6:coauthVersionMax="47" xr10:uidLastSave="{00000000-0000-0000-0000-000000000000}"/>
  <bookViews>
    <workbookView xWindow="-120" yWindow="-120" windowWidth="20730" windowHeight="11160" xr2:uid="{1B8F7FE3-28EB-419E-A5E3-48367C0E92DD}"/>
  </bookViews>
  <sheets>
    <sheet name="EGRESAD" sheetId="2" r:id="rId1"/>
    <sheet name="Respon" sheetId="3" r:id="rId2"/>
    <sheet name="CARRER" sheetId="14" r:id="rId3"/>
    <sheet name="ARQ" sheetId="1" r:id="rId4"/>
    <sheet name="ELE" sheetId="4" r:id="rId5"/>
    <sheet name="ELO" sheetId="5" r:id="rId6"/>
    <sheet name="IGE" sheetId="6" r:id="rId7"/>
    <sheet name="IND" sheetId="7" r:id="rId8"/>
    <sheet name="LOG" sheetId="8" r:id="rId9"/>
    <sheet name="MAT" sheetId="9" r:id="rId10"/>
    <sheet name="MEC" sheetId="10" r:id="rId11"/>
    <sheet name="MKT" sheetId="11" r:id="rId12"/>
    <sheet name="SIST" sheetId="12" r:id="rId13"/>
    <sheet name="MAES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3" l="1"/>
  <c r="F7" i="13"/>
  <c r="F8" i="13"/>
  <c r="F9" i="13"/>
  <c r="F10" i="13"/>
  <c r="F11" i="13"/>
  <c r="F12" i="13"/>
  <c r="F5" i="13"/>
  <c r="F6" i="12"/>
  <c r="F7" i="12"/>
  <c r="F8" i="12"/>
  <c r="F9" i="12"/>
  <c r="F10" i="12"/>
  <c r="F11" i="12"/>
  <c r="F12" i="12"/>
  <c r="F5" i="12"/>
  <c r="F6" i="11"/>
  <c r="F7" i="11"/>
  <c r="F8" i="11"/>
  <c r="F9" i="11"/>
  <c r="F10" i="11"/>
  <c r="F11" i="11"/>
  <c r="F12" i="11"/>
  <c r="F5" i="11"/>
  <c r="F6" i="10"/>
  <c r="F7" i="10"/>
  <c r="F8" i="10"/>
  <c r="F9" i="10"/>
  <c r="F10" i="10"/>
  <c r="F11" i="10"/>
  <c r="F12" i="10"/>
  <c r="F5" i="10"/>
  <c r="F6" i="9"/>
  <c r="F7" i="9"/>
  <c r="F8" i="9"/>
  <c r="F9" i="9"/>
  <c r="F10" i="9"/>
  <c r="F11" i="9"/>
  <c r="F12" i="9"/>
  <c r="F5" i="9"/>
  <c r="F6" i="8"/>
  <c r="F7" i="8"/>
  <c r="F8" i="8"/>
  <c r="F9" i="8"/>
  <c r="F10" i="8"/>
  <c r="F11" i="8"/>
  <c r="F12" i="8"/>
  <c r="F5" i="8"/>
  <c r="F6" i="7"/>
  <c r="F7" i="7"/>
  <c r="F8" i="7"/>
  <c r="F9" i="7"/>
  <c r="F10" i="7"/>
  <c r="F11" i="7"/>
  <c r="F12" i="7"/>
  <c r="F5" i="7"/>
  <c r="F6" i="6"/>
  <c r="F7" i="6"/>
  <c r="F8" i="6"/>
  <c r="F9" i="6"/>
  <c r="F10" i="6"/>
  <c r="F11" i="6"/>
  <c r="F12" i="6"/>
  <c r="F5" i="6"/>
  <c r="F6" i="5"/>
  <c r="F7" i="5"/>
  <c r="F8" i="5"/>
  <c r="F9" i="5"/>
  <c r="F10" i="5"/>
  <c r="F11" i="5"/>
  <c r="F12" i="5"/>
  <c r="F5" i="5"/>
  <c r="F6" i="4"/>
  <c r="F7" i="4"/>
  <c r="F8" i="4"/>
  <c r="F9" i="4"/>
  <c r="F10" i="4"/>
  <c r="F11" i="4"/>
  <c r="F12" i="4"/>
  <c r="F5" i="4"/>
  <c r="F6" i="1"/>
  <c r="F7" i="1"/>
  <c r="F8" i="1"/>
  <c r="F9" i="1"/>
  <c r="F10" i="1"/>
  <c r="F11" i="1"/>
  <c r="F12" i="1"/>
  <c r="F5" i="1"/>
  <c r="F87" i="14"/>
  <c r="F88" i="14"/>
  <c r="F89" i="14"/>
  <c r="F90" i="14"/>
  <c r="F91" i="14"/>
  <c r="F92" i="14"/>
  <c r="F93" i="14"/>
  <c r="F86" i="14"/>
  <c r="S72" i="14"/>
  <c r="S73" i="14"/>
  <c r="S74" i="14"/>
  <c r="S75" i="14"/>
  <c r="S76" i="14"/>
  <c r="S77" i="14"/>
  <c r="S78" i="14"/>
  <c r="S71" i="14"/>
  <c r="F72" i="14"/>
  <c r="F73" i="14"/>
  <c r="F74" i="14"/>
  <c r="F75" i="14"/>
  <c r="F76" i="14"/>
  <c r="F77" i="14"/>
  <c r="F78" i="14"/>
  <c r="F71" i="14"/>
  <c r="S54" i="14"/>
  <c r="S55" i="14"/>
  <c r="S56" i="14"/>
  <c r="S57" i="14"/>
  <c r="S58" i="14"/>
  <c r="S59" i="14"/>
  <c r="S60" i="14"/>
  <c r="S53" i="14"/>
  <c r="F54" i="14"/>
  <c r="F55" i="14"/>
  <c r="F56" i="14"/>
  <c r="F57" i="14"/>
  <c r="F58" i="14"/>
  <c r="F59" i="14"/>
  <c r="F60" i="14"/>
  <c r="F53" i="14"/>
  <c r="S39" i="14"/>
  <c r="S40" i="14"/>
  <c r="S41" i="14"/>
  <c r="S42" i="14"/>
  <c r="S43" i="14"/>
  <c r="S44" i="14"/>
  <c r="S45" i="14"/>
  <c r="S38" i="14"/>
  <c r="F39" i="14"/>
  <c r="F40" i="14"/>
  <c r="F41" i="14"/>
  <c r="F42" i="14"/>
  <c r="F43" i="14"/>
  <c r="F44" i="14"/>
  <c r="F45" i="14"/>
  <c r="F38" i="14"/>
  <c r="S21" i="14"/>
  <c r="S22" i="14"/>
  <c r="S23" i="14"/>
  <c r="S24" i="14"/>
  <c r="S25" i="14"/>
  <c r="S26" i="14"/>
  <c r="S27" i="14"/>
  <c r="S20" i="14"/>
  <c r="F21" i="14"/>
  <c r="F22" i="14"/>
  <c r="F23" i="14"/>
  <c r="F24" i="14"/>
  <c r="F25" i="14"/>
  <c r="F26" i="14"/>
  <c r="F27" i="14"/>
  <c r="F20" i="14"/>
  <c r="S6" i="14"/>
  <c r="S7" i="14"/>
  <c r="S8" i="14"/>
  <c r="S9" i="14"/>
  <c r="S10" i="14"/>
  <c r="S11" i="14"/>
  <c r="S12" i="14"/>
  <c r="S5" i="14"/>
  <c r="F6" i="14"/>
  <c r="F7" i="14"/>
  <c r="F8" i="14"/>
  <c r="F9" i="14"/>
  <c r="F10" i="14"/>
  <c r="F11" i="14"/>
  <c r="F12" i="14"/>
  <c r="F5" i="14"/>
  <c r="W15" i="3"/>
  <c r="R15" i="3"/>
  <c r="Q15" i="3"/>
  <c r="L15" i="3"/>
  <c r="K15" i="3"/>
  <c r="F15" i="3"/>
  <c r="E15" i="3"/>
  <c r="W5" i="3"/>
  <c r="X5" i="3"/>
  <c r="W6" i="3"/>
  <c r="X6" i="3"/>
  <c r="W7" i="3"/>
  <c r="X7" i="3"/>
  <c r="W8" i="3"/>
  <c r="X8" i="3"/>
  <c r="W9" i="3"/>
  <c r="X9" i="3"/>
  <c r="W10" i="3"/>
  <c r="X10" i="3"/>
  <c r="W11" i="3"/>
  <c r="X11" i="3"/>
  <c r="W12" i="3"/>
  <c r="X12" i="3"/>
  <c r="W13" i="3"/>
  <c r="X13" i="3"/>
  <c r="X4" i="3"/>
  <c r="Q5" i="3"/>
  <c r="R5" i="3"/>
  <c r="Q6" i="3"/>
  <c r="R6" i="3"/>
  <c r="Q7" i="3"/>
  <c r="R7" i="3"/>
  <c r="Q8" i="3"/>
  <c r="R8" i="3"/>
  <c r="Q9" i="3"/>
  <c r="R9" i="3"/>
  <c r="Q10" i="3"/>
  <c r="R10" i="3"/>
  <c r="Q11" i="3"/>
  <c r="R11" i="3"/>
  <c r="Q12" i="3"/>
  <c r="R12" i="3"/>
  <c r="Q13" i="3"/>
  <c r="R13" i="3"/>
  <c r="R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W4" i="3"/>
  <c r="Q4" i="3"/>
  <c r="L4" i="3"/>
  <c r="K4" i="3"/>
  <c r="F4" i="3"/>
  <c r="F15" i="2"/>
  <c r="J15" i="2" s="1"/>
  <c r="N15" i="2" s="1"/>
  <c r="R15" i="2" s="1"/>
  <c r="I15" i="2"/>
  <c r="M15" i="2" s="1"/>
  <c r="Q15" i="2" s="1"/>
  <c r="E15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R4" i="2"/>
  <c r="Q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N4" i="2"/>
  <c r="M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J4" i="2"/>
  <c r="I4" i="2"/>
  <c r="F5" i="2"/>
  <c r="F6" i="2"/>
  <c r="F7" i="2"/>
  <c r="F8" i="2"/>
  <c r="F9" i="2"/>
  <c r="F10" i="2"/>
  <c r="F11" i="2"/>
  <c r="F12" i="2"/>
  <c r="F13" i="2"/>
  <c r="F4" i="2"/>
  <c r="E5" i="2"/>
  <c r="E6" i="2"/>
  <c r="E7" i="2"/>
  <c r="E8" i="2"/>
  <c r="E9" i="2"/>
  <c r="E10" i="2"/>
  <c r="E11" i="2"/>
  <c r="E12" i="2"/>
  <c r="E13" i="2"/>
  <c r="E4" i="2"/>
  <c r="C33" i="2"/>
  <c r="E4" i="3"/>
  <c r="E6" i="14"/>
  <c r="E5" i="14"/>
  <c r="E93" i="14"/>
  <c r="E92" i="14"/>
  <c r="E91" i="14"/>
  <c r="E90" i="14"/>
  <c r="E89" i="14"/>
  <c r="E88" i="14"/>
  <c r="E87" i="14"/>
  <c r="E86" i="14"/>
  <c r="R78" i="14"/>
  <c r="E78" i="14"/>
  <c r="R77" i="14"/>
  <c r="E77" i="14"/>
  <c r="R76" i="14"/>
  <c r="E76" i="14"/>
  <c r="R75" i="14"/>
  <c r="E75" i="14"/>
  <c r="R74" i="14"/>
  <c r="E74" i="14"/>
  <c r="R73" i="14"/>
  <c r="E73" i="14"/>
  <c r="R72" i="14"/>
  <c r="E72" i="14"/>
  <c r="R71" i="14"/>
  <c r="E71" i="14"/>
  <c r="R60" i="14"/>
  <c r="E60" i="14"/>
  <c r="R59" i="14"/>
  <c r="E59" i="14"/>
  <c r="R58" i="14"/>
  <c r="E58" i="14"/>
  <c r="R57" i="14"/>
  <c r="E57" i="14"/>
  <c r="R56" i="14"/>
  <c r="E56" i="14"/>
  <c r="R55" i="14"/>
  <c r="E55" i="14"/>
  <c r="R54" i="14"/>
  <c r="E54" i="14"/>
  <c r="R53" i="14"/>
  <c r="E53" i="14"/>
  <c r="R45" i="14"/>
  <c r="E45" i="14"/>
  <c r="R44" i="14"/>
  <c r="E44" i="14"/>
  <c r="R43" i="14"/>
  <c r="E43" i="14"/>
  <c r="R42" i="14"/>
  <c r="E42" i="14"/>
  <c r="R41" i="14"/>
  <c r="E41" i="14"/>
  <c r="R40" i="14"/>
  <c r="E40" i="14"/>
  <c r="R39" i="14"/>
  <c r="E39" i="14"/>
  <c r="R38" i="14"/>
  <c r="E38" i="14"/>
  <c r="R27" i="14"/>
  <c r="E27" i="14"/>
  <c r="R26" i="14"/>
  <c r="E26" i="14"/>
  <c r="R25" i="14"/>
  <c r="E25" i="14"/>
  <c r="R24" i="14"/>
  <c r="E24" i="14"/>
  <c r="R23" i="14"/>
  <c r="E23" i="14"/>
  <c r="R22" i="14"/>
  <c r="E22" i="14"/>
  <c r="R21" i="14"/>
  <c r="E21" i="14"/>
  <c r="R20" i="14"/>
  <c r="E20" i="14"/>
  <c r="R12" i="14"/>
  <c r="E12" i="14"/>
  <c r="R11" i="14"/>
  <c r="E11" i="14"/>
  <c r="R10" i="14"/>
  <c r="E10" i="14"/>
  <c r="R9" i="14"/>
  <c r="E9" i="14"/>
  <c r="R8" i="14"/>
  <c r="E8" i="14"/>
  <c r="R7" i="14"/>
  <c r="E7" i="14"/>
  <c r="R6" i="14"/>
  <c r="R5" i="14"/>
  <c r="E6" i="11"/>
  <c r="E7" i="11"/>
  <c r="E8" i="11"/>
  <c r="E9" i="11"/>
  <c r="E10" i="11"/>
  <c r="E11" i="11"/>
  <c r="E12" i="11"/>
  <c r="E5" i="11"/>
  <c r="E6" i="10"/>
  <c r="E7" i="10"/>
  <c r="E8" i="10"/>
  <c r="E9" i="10"/>
  <c r="E10" i="10"/>
  <c r="E11" i="10"/>
  <c r="E12" i="10"/>
  <c r="E5" i="10"/>
  <c r="E6" i="7"/>
  <c r="E7" i="7"/>
  <c r="E8" i="7"/>
  <c r="E9" i="7"/>
  <c r="E10" i="7"/>
  <c r="E11" i="7"/>
  <c r="E12" i="7"/>
  <c r="E5" i="7"/>
  <c r="E6" i="13"/>
  <c r="E7" i="13"/>
  <c r="E8" i="13"/>
  <c r="E9" i="13"/>
  <c r="E10" i="13"/>
  <c r="E11" i="13"/>
  <c r="E12" i="13"/>
  <c r="E5" i="13"/>
  <c r="E6" i="12"/>
  <c r="E7" i="12"/>
  <c r="E8" i="12"/>
  <c r="E9" i="12"/>
  <c r="E10" i="12"/>
  <c r="E11" i="12"/>
  <c r="E12" i="12"/>
  <c r="E5" i="12"/>
  <c r="E6" i="9"/>
  <c r="E7" i="9"/>
  <c r="E8" i="9"/>
  <c r="E9" i="9"/>
  <c r="E10" i="9"/>
  <c r="E11" i="9"/>
  <c r="E12" i="9"/>
  <c r="E5" i="9"/>
  <c r="E6" i="8"/>
  <c r="E7" i="8"/>
  <c r="E8" i="8"/>
  <c r="E9" i="8"/>
  <c r="E10" i="8"/>
  <c r="E11" i="8"/>
  <c r="E12" i="8"/>
  <c r="E5" i="8"/>
  <c r="E6" i="6"/>
  <c r="E7" i="6"/>
  <c r="E8" i="6"/>
  <c r="E9" i="6"/>
  <c r="E10" i="6"/>
  <c r="E11" i="6"/>
  <c r="E12" i="6"/>
  <c r="E5" i="6"/>
  <c r="E6" i="5"/>
  <c r="E7" i="5"/>
  <c r="E8" i="5"/>
  <c r="E9" i="5"/>
  <c r="E10" i="5"/>
  <c r="E11" i="5"/>
  <c r="E12" i="5"/>
  <c r="E5" i="5"/>
  <c r="E6" i="4"/>
  <c r="E7" i="4"/>
  <c r="E8" i="4"/>
  <c r="E9" i="4"/>
  <c r="E10" i="4"/>
  <c r="E11" i="4"/>
  <c r="E12" i="4"/>
  <c r="E5" i="4"/>
  <c r="E8" i="1"/>
  <c r="E9" i="1"/>
  <c r="E10" i="1"/>
  <c r="E11" i="1"/>
  <c r="E12" i="1"/>
  <c r="E7" i="1"/>
  <c r="G24" i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X15" i="3"/>
  <c r="V14" i="3"/>
  <c r="U14" i="3"/>
  <c r="P14" i="3"/>
  <c r="O14" i="3"/>
  <c r="J14" i="3"/>
  <c r="I14" i="3"/>
  <c r="D14" i="3"/>
  <c r="C14" i="3"/>
  <c r="G27" i="2"/>
  <c r="G14" i="2" l="1"/>
  <c r="H14" i="2"/>
  <c r="K14" i="2"/>
  <c r="L14" i="2"/>
  <c r="O14" i="2"/>
  <c r="P14" i="2"/>
  <c r="D14" i="2"/>
  <c r="C14" i="2"/>
</calcChain>
</file>

<file path=xl/sharedStrings.xml><?xml version="1.0" encoding="utf-8"?>
<sst xmlns="http://schemas.openxmlformats.org/spreadsheetml/2006/main" count="570" uniqueCount="53">
  <si>
    <t>INDUSTRIAL</t>
  </si>
  <si>
    <t>MATERIALES</t>
  </si>
  <si>
    <t>ARQUITECTURA</t>
  </si>
  <si>
    <t>ELECTRÓNICA</t>
  </si>
  <si>
    <t>MECATRÓNICA</t>
  </si>
  <si>
    <t>ELÉCTRICA</t>
  </si>
  <si>
    <t>GESTIÓN EMPRESARIAL</t>
  </si>
  <si>
    <t>LOGÍSTICA</t>
  </si>
  <si>
    <t>SIST. COMPUTACIONALES</t>
  </si>
  <si>
    <t>MAESTRÍA EN INGENIERÍA</t>
  </si>
  <si>
    <t>TOTAL LICENCIATURA</t>
  </si>
  <si>
    <t>GRAN TOTAL</t>
  </si>
  <si>
    <t>N=</t>
  </si>
  <si>
    <t>p =</t>
  </si>
  <si>
    <t>B =</t>
  </si>
  <si>
    <t>Zconf =</t>
  </si>
  <si>
    <t>TAMAÑO  MUESTRA</t>
  </si>
  <si>
    <t>El tamaño de muestra apropiado para aplicar una encuesta de egresados de cada carrera, con un valor de  precisión de "0.2" = 0.1, y una confianza de la estimación del 80%</t>
  </si>
  <si>
    <t>0.05 para un 5% margen de error</t>
  </si>
  <si>
    <t>MECÁNICA</t>
  </si>
  <si>
    <r>
      <t xml:space="preserve">Podemos usar  </t>
    </r>
    <r>
      <rPr>
        <i/>
        <sz val="11"/>
        <color rgb="FF000000"/>
        <rFont val="Aptos Narrow"/>
        <family val="2"/>
        <scheme val="minor"/>
      </rPr>
      <t>p</t>
    </r>
    <r>
      <rPr>
        <sz val="11"/>
        <color rgb="FF000000"/>
        <rFont val="Aptos Narrow"/>
        <family val="2"/>
        <scheme val="minor"/>
      </rPr>
      <t xml:space="preserve"> = 0.5 , Cuando no se conoce el valor p obtenido de una muestra</t>
    </r>
  </si>
  <si>
    <r>
      <t xml:space="preserve">(1 - </t>
    </r>
    <r>
      <rPr>
        <i/>
        <sz val="11"/>
        <color rgb="FF000000"/>
        <rFont val="Aptos Narrow"/>
        <family val="2"/>
        <scheme val="minor"/>
      </rPr>
      <t>p</t>
    </r>
    <r>
      <rPr>
        <sz val="11"/>
        <color rgb="FF000000"/>
        <rFont val="Aptos Narrow"/>
        <family val="2"/>
        <scheme val="minor"/>
      </rPr>
      <t>) =</t>
    </r>
  </si>
  <si>
    <t>(1.282)^2 = 1.644</t>
  </si>
  <si>
    <t>E-J</t>
  </si>
  <si>
    <t>A-D</t>
  </si>
  <si>
    <t>Parámetro</t>
  </si>
  <si>
    <t>Valor</t>
  </si>
  <si>
    <t>N (Población)</t>
  </si>
  <si>
    <t>p (Proporción)</t>
  </si>
  <si>
    <t>Z (Confianza)</t>
  </si>
  <si>
    <t>e (Error permitido)</t>
  </si>
  <si>
    <t>n (Tamaño de muestra)</t>
  </si>
  <si>
    <t>Tabla: Presenta los totales (N) de egresados por cada periodo y tamaño de muestra (n)  para cada uno</t>
  </si>
  <si>
    <t>SISTEMAS COMPUTACIONALES</t>
  </si>
  <si>
    <t>Podemos usar  p = 0.5 , Cuando no se conoce el valor p obtenido de una muestra</t>
  </si>
  <si>
    <t>CARRERA</t>
  </si>
  <si>
    <t>N° RESP</t>
  </si>
  <si>
    <t>CARRERA:</t>
  </si>
  <si>
    <t>M</t>
  </si>
  <si>
    <t>TOT</t>
  </si>
  <si>
    <t>EGRESADOS</t>
  </si>
  <si>
    <t>PERIO</t>
  </si>
  <si>
    <t xml:space="preserve">AÑO </t>
  </si>
  <si>
    <t>N° RESPUES</t>
  </si>
  <si>
    <t>T.  MUESTRA</t>
  </si>
  <si>
    <t>Tabla: Presenta los totales (N) de egresados por cada periodo y tamaño de muestra (n)</t>
  </si>
  <si>
    <t>GEST. EMPRESARIAL</t>
  </si>
  <si>
    <t>MAESTRÍA ING.</t>
  </si>
  <si>
    <t>TOTAL</t>
  </si>
  <si>
    <t>F</t>
  </si>
  <si>
    <t>TAMAÑO MUESTRA</t>
  </si>
  <si>
    <t>Tablas: Presenta los totales (N) de egresados por cada periodo y tamaño de muestra (n)  para cada uno</t>
  </si>
  <si>
    <t>Ejem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</si>
</sst>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sz val="10"/>
      <name val="Aptos Narrow"/>
      <family val="2"/>
    </font>
    <font>
      <sz val="10"/>
      <color rgb="FF0000FF"/>
      <name val="Aptos Narrow"/>
      <family val="2"/>
    </font>
    <font>
      <b/>
      <sz val="1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4"/>
      <color theme="1"/>
      <name val="Aptos"/>
      <family val="2"/>
    </font>
    <font>
      <sz val="11"/>
      <color rgb="FF0000FF"/>
      <name val="Aptos"/>
      <family val="2"/>
    </font>
    <font>
      <sz val="11"/>
      <color rgb="FF0000FF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7030A0"/>
      </right>
      <top style="thin">
        <color indexed="64"/>
      </top>
      <bottom style="thin">
        <color indexed="64"/>
      </bottom>
      <diagonal/>
    </border>
    <border>
      <left/>
      <right style="thin">
        <color rgb="FF7030A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13" fillId="0" borderId="1" xfId="0" applyFont="1" applyBorder="1" applyAlignment="1">
      <alignment wrapText="1"/>
    </xf>
    <xf numFmtId="0" fontId="0" fillId="0" borderId="6" xfId="0" applyBorder="1"/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/>
    <xf numFmtId="0" fontId="14" fillId="0" borderId="3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7" xfId="0" applyFont="1" applyBorder="1"/>
    <xf numFmtId="0" fontId="0" fillId="0" borderId="0" xfId="0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/>
    </xf>
    <xf numFmtId="4" fontId="16" fillId="0" borderId="0" xfId="0" applyNumberFormat="1" applyFont="1"/>
    <xf numFmtId="4" fontId="0" fillId="0" borderId="0" xfId="0" applyNumberFormat="1"/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1" xfId="0" applyFill="1" applyBorder="1"/>
    <xf numFmtId="0" fontId="10" fillId="3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9" fillId="0" borderId="7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wrapText="1"/>
    </xf>
    <xf numFmtId="0" fontId="0" fillId="0" borderId="10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5" borderId="4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14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textRotation="60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/>
    </xf>
    <xf numFmtId="0" fontId="15" fillId="0" borderId="13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20</xdr:row>
      <xdr:rowOff>0</xdr:rowOff>
    </xdr:from>
    <xdr:to>
      <xdr:col>16</xdr:col>
      <xdr:colOff>47625</xdr:colOff>
      <xdr:row>23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F0AAE5-62AA-4FB9-8CC4-60E6B20F5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4533900"/>
          <a:ext cx="25908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14</xdr:col>
      <xdr:colOff>120650</xdr:colOff>
      <xdr:row>31</xdr:row>
      <xdr:rowOff>50800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01D9B26-F50F-C214-6B3C-2E8F16E27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700" y="5689600"/>
          <a:ext cx="2419350" cy="60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16</xdr:col>
      <xdr:colOff>93784</xdr:colOff>
      <xdr:row>20</xdr:row>
      <xdr:rowOff>123825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C72792D-F228-4D48-A936-08ED7DF51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4143375"/>
          <a:ext cx="24860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14</xdr:col>
      <xdr:colOff>260350</xdr:colOff>
      <xdr:row>27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38ADFF-C886-DA26-9252-F07C65D45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1100" y="4591050"/>
          <a:ext cx="2419350" cy="60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59A1-4A92-4935-BDD4-45405A855E54}">
  <dimension ref="A1:T33"/>
  <sheetViews>
    <sheetView showGridLines="0" tabSelected="1" workbookViewId="0">
      <selection activeCell="U12" sqref="U12"/>
    </sheetView>
  </sheetViews>
  <sheetFormatPr baseColWidth="10" defaultRowHeight="15" x14ac:dyDescent="0.25"/>
  <cols>
    <col min="1" max="1" width="3" bestFit="1" customWidth="1"/>
    <col min="2" max="2" width="22.7109375" customWidth="1"/>
    <col min="3" max="3" width="4.42578125" bestFit="1" customWidth="1"/>
    <col min="4" max="4" width="4" bestFit="1" customWidth="1"/>
    <col min="5" max="5" width="4" customWidth="1"/>
    <col min="6" max="6" width="4.28515625" customWidth="1"/>
    <col min="7" max="8" width="4" bestFit="1" customWidth="1"/>
    <col min="9" max="9" width="4.140625" customWidth="1"/>
    <col min="10" max="10" width="4" customWidth="1"/>
    <col min="11" max="12" width="4" bestFit="1" customWidth="1"/>
    <col min="13" max="13" width="4.28515625" customWidth="1"/>
    <col min="14" max="14" width="4.42578125" customWidth="1"/>
    <col min="15" max="15" width="4" bestFit="1" customWidth="1"/>
    <col min="16" max="16" width="3.7109375" bestFit="1" customWidth="1"/>
    <col min="17" max="17" width="4.28515625" customWidth="1"/>
    <col min="18" max="18" width="4.42578125" customWidth="1"/>
    <col min="19" max="19" width="6.140625" customWidth="1"/>
    <col min="20" max="20" width="9.7109375" customWidth="1"/>
    <col min="21" max="21" width="9.140625" customWidth="1"/>
    <col min="22" max="22" width="10.140625" customWidth="1"/>
  </cols>
  <sheetData>
    <row r="1" spans="1:19" x14ac:dyDescent="0.25">
      <c r="A1" s="61" t="s">
        <v>32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19" ht="26.1" customHeight="1" x14ac:dyDescent="0.25">
      <c r="A2" s="63"/>
      <c r="B2" s="64"/>
      <c r="C2" s="64">
        <v>2022</v>
      </c>
      <c r="D2" s="64"/>
      <c r="E2" s="62" t="s">
        <v>16</v>
      </c>
      <c r="F2" s="62"/>
      <c r="G2" s="63">
        <v>2023</v>
      </c>
      <c r="H2" s="63"/>
      <c r="I2" s="62" t="s">
        <v>16</v>
      </c>
      <c r="J2" s="62"/>
      <c r="K2" s="65">
        <v>2024</v>
      </c>
      <c r="L2" s="65"/>
      <c r="M2" s="62" t="s">
        <v>16</v>
      </c>
      <c r="N2" s="62"/>
      <c r="O2" s="66">
        <v>2025</v>
      </c>
      <c r="P2" s="66"/>
      <c r="Q2" s="62" t="s">
        <v>16</v>
      </c>
      <c r="R2" s="62"/>
      <c r="S2" s="26"/>
    </row>
    <row r="3" spans="1:19" x14ac:dyDescent="0.25">
      <c r="A3" s="63"/>
      <c r="B3" s="64"/>
      <c r="C3" s="24" t="s">
        <v>23</v>
      </c>
      <c r="D3" s="24" t="s">
        <v>24</v>
      </c>
      <c r="E3" s="44" t="s">
        <v>23</v>
      </c>
      <c r="F3" s="45" t="s">
        <v>24</v>
      </c>
      <c r="G3" s="24" t="s">
        <v>23</v>
      </c>
      <c r="H3" s="24" t="s">
        <v>24</v>
      </c>
      <c r="I3" s="48" t="s">
        <v>23</v>
      </c>
      <c r="J3" s="48" t="s">
        <v>24</v>
      </c>
      <c r="K3" s="24" t="s">
        <v>23</v>
      </c>
      <c r="L3" s="24" t="s">
        <v>24</v>
      </c>
      <c r="M3" s="44" t="s">
        <v>23</v>
      </c>
      <c r="N3" s="45" t="s">
        <v>24</v>
      </c>
      <c r="O3" s="27" t="s">
        <v>23</v>
      </c>
      <c r="P3" s="27" t="s">
        <v>24</v>
      </c>
      <c r="Q3" s="45" t="s">
        <v>23</v>
      </c>
      <c r="R3" s="45" t="s">
        <v>24</v>
      </c>
      <c r="S3" s="26"/>
    </row>
    <row r="4" spans="1:19" x14ac:dyDescent="0.25">
      <c r="A4" s="6">
        <v>1</v>
      </c>
      <c r="B4" s="8" t="s">
        <v>2</v>
      </c>
      <c r="C4" s="15">
        <v>55</v>
      </c>
      <c r="D4" s="15">
        <v>57</v>
      </c>
      <c r="E4" s="46">
        <f>ROUNDUP((C4*0.5*0.5)/(((C4-1)*(0.05^2))/(1.282^2)+(0.5*0.5)),0)</f>
        <v>42</v>
      </c>
      <c r="F4" s="46">
        <f>ROUNDUP((D4*0.5*0.5)/(((D4-1)*(0.05^2))/(1.282^2)+(0.5*0.5)),0)</f>
        <v>43</v>
      </c>
      <c r="G4" s="15">
        <v>71</v>
      </c>
      <c r="H4" s="15">
        <v>77</v>
      </c>
      <c r="I4" s="46">
        <f>ROUNDUP((G4*0.5*0.5)/(((G4-1)*(0.05^2))/(1.282^2)+(0.5*0.5)),0)</f>
        <v>50</v>
      </c>
      <c r="J4" s="46">
        <f>ROUNDUP((H4*0.5*0.5)/(((H4-1)*(0.05^2))/(1.282^2)+(0.5*0.5)),0)</f>
        <v>53</v>
      </c>
      <c r="K4" s="20">
        <v>57</v>
      </c>
      <c r="L4" s="20">
        <v>94</v>
      </c>
      <c r="M4" s="46">
        <f>ROUNDUP((K4*0.5*0.5)/(((K4-1)*(0.05^2))/(1.282^2)+(0.5*0.5)),0)</f>
        <v>43</v>
      </c>
      <c r="N4" s="46">
        <f>ROUNDUP((L4*0.5*0.5)/(((L4-1)*(0.05^2))/(1.282^2)+(0.5*0.5)),0)</f>
        <v>61</v>
      </c>
      <c r="O4" s="21">
        <v>61</v>
      </c>
      <c r="P4" s="21"/>
      <c r="Q4" s="46">
        <f>ROUNDUP((O4*0.5*0.5)/(((O4-1)*(0.05^2))/(1.282^2)+(0.5*0.5)),0)</f>
        <v>45</v>
      </c>
      <c r="R4" s="46">
        <f>ROUNDUP((P4*0.5*0.5)/(((P4-1)*(0.05^2))/(1.282^2)+(0.5*0.5)),0)</f>
        <v>0</v>
      </c>
      <c r="S4" s="16"/>
    </row>
    <row r="5" spans="1:19" x14ac:dyDescent="0.25">
      <c r="A5" s="6">
        <v>2</v>
      </c>
      <c r="B5" s="8" t="s">
        <v>5</v>
      </c>
      <c r="C5" s="15">
        <v>12</v>
      </c>
      <c r="D5" s="15">
        <v>15</v>
      </c>
      <c r="E5" s="46">
        <f t="shared" ref="E5:E13" si="0">ROUNDUP((C5*0.5*0.5)/(((C5-1)*(0.05^2))/(1.282^2)+(0.5*0.5)),0)</f>
        <v>12</v>
      </c>
      <c r="F5" s="46">
        <f t="shared" ref="F5:F13" si="1">ROUNDUP((D5*0.5*0.5)/(((D5-1)*(0.05^2))/(1.282^2)+(0.5*0.5)),0)</f>
        <v>14</v>
      </c>
      <c r="G5" s="15">
        <v>23</v>
      </c>
      <c r="H5" s="15">
        <v>12</v>
      </c>
      <c r="I5" s="46">
        <f t="shared" ref="I5:I13" si="2">ROUNDUP((G5*0.5*0.5)/(((G5-1)*(0.05^2))/(1.282^2)+(0.5*0.5)),0)</f>
        <v>21</v>
      </c>
      <c r="J5" s="46">
        <f t="shared" ref="J5:J13" si="3">ROUNDUP((H5*0.5*0.5)/(((H5-1)*(0.05^2))/(1.282^2)+(0.5*0.5)),0)</f>
        <v>12</v>
      </c>
      <c r="K5" s="20">
        <v>9</v>
      </c>
      <c r="L5" s="20">
        <v>17</v>
      </c>
      <c r="M5" s="46">
        <f t="shared" ref="M5:M13" si="4">ROUNDUP((K5*0.5*0.5)/(((K5-1)*(0.05^2))/(1.282^2)+(0.5*0.5)),0)</f>
        <v>9</v>
      </c>
      <c r="N5" s="46">
        <f t="shared" ref="N5:N13" si="5">ROUNDUP((L5*0.5*0.5)/(((L5-1)*(0.05^2))/(1.282^2)+(0.5*0.5)),0)</f>
        <v>16</v>
      </c>
      <c r="O5" s="22">
        <v>17</v>
      </c>
      <c r="P5" s="22"/>
      <c r="Q5" s="46">
        <f t="shared" ref="Q5:Q13" si="6">ROUNDUP((O5*0.5*0.5)/(((O5-1)*(0.05^2))/(1.282^2)+(0.5*0.5)),0)</f>
        <v>16</v>
      </c>
      <c r="R5" s="46">
        <f t="shared" ref="R5:R13" si="7">ROUNDUP((P5*0.5*0.5)/(((P5-1)*(0.05^2))/(1.282^2)+(0.5*0.5)),0)</f>
        <v>0</v>
      </c>
      <c r="S5" s="16"/>
    </row>
    <row r="6" spans="1:19" x14ac:dyDescent="0.25">
      <c r="A6" s="6">
        <v>3</v>
      </c>
      <c r="B6" s="8" t="s">
        <v>3</v>
      </c>
      <c r="C6" s="15">
        <v>12</v>
      </c>
      <c r="D6" s="15">
        <v>11</v>
      </c>
      <c r="E6" s="46">
        <f t="shared" si="0"/>
        <v>12</v>
      </c>
      <c r="F6" s="46">
        <f t="shared" si="1"/>
        <v>11</v>
      </c>
      <c r="G6" s="15">
        <v>13</v>
      </c>
      <c r="H6" s="15">
        <v>13</v>
      </c>
      <c r="I6" s="46">
        <f t="shared" si="2"/>
        <v>13</v>
      </c>
      <c r="J6" s="46">
        <f t="shared" si="3"/>
        <v>13</v>
      </c>
      <c r="K6" s="20">
        <v>9</v>
      </c>
      <c r="L6" s="20">
        <v>16</v>
      </c>
      <c r="M6" s="46">
        <f t="shared" si="4"/>
        <v>9</v>
      </c>
      <c r="N6" s="46">
        <f t="shared" si="5"/>
        <v>15</v>
      </c>
      <c r="O6" s="21">
        <v>16</v>
      </c>
      <c r="P6" s="21"/>
      <c r="Q6" s="46">
        <f t="shared" si="6"/>
        <v>15</v>
      </c>
      <c r="R6" s="46">
        <f t="shared" si="7"/>
        <v>0</v>
      </c>
      <c r="S6" s="16"/>
    </row>
    <row r="7" spans="1:19" x14ac:dyDescent="0.25">
      <c r="A7" s="6">
        <v>4</v>
      </c>
      <c r="B7" s="8" t="s">
        <v>6</v>
      </c>
      <c r="C7" s="15">
        <v>36</v>
      </c>
      <c r="D7" s="15">
        <v>55</v>
      </c>
      <c r="E7" s="46">
        <f t="shared" si="0"/>
        <v>30</v>
      </c>
      <c r="F7" s="46">
        <f t="shared" si="1"/>
        <v>42</v>
      </c>
      <c r="G7" s="15">
        <v>63</v>
      </c>
      <c r="H7" s="15">
        <v>75</v>
      </c>
      <c r="I7" s="46">
        <f t="shared" si="2"/>
        <v>46</v>
      </c>
      <c r="J7" s="46">
        <f t="shared" si="3"/>
        <v>52</v>
      </c>
      <c r="K7" s="20">
        <v>53</v>
      </c>
      <c r="L7" s="20">
        <v>45</v>
      </c>
      <c r="M7" s="46">
        <f t="shared" si="4"/>
        <v>41</v>
      </c>
      <c r="N7" s="46">
        <f t="shared" si="5"/>
        <v>36</v>
      </c>
      <c r="O7" s="21">
        <v>43</v>
      </c>
      <c r="P7" s="21"/>
      <c r="Q7" s="46">
        <f t="shared" si="6"/>
        <v>35</v>
      </c>
      <c r="R7" s="46">
        <f t="shared" si="7"/>
        <v>0</v>
      </c>
      <c r="S7" s="16"/>
    </row>
    <row r="8" spans="1:19" x14ac:dyDescent="0.25">
      <c r="A8" s="6">
        <v>5</v>
      </c>
      <c r="B8" s="8" t="s">
        <v>0</v>
      </c>
      <c r="C8" s="15">
        <v>154</v>
      </c>
      <c r="D8" s="15">
        <v>91</v>
      </c>
      <c r="E8" s="46">
        <f t="shared" si="0"/>
        <v>80</v>
      </c>
      <c r="F8" s="46">
        <f t="shared" si="1"/>
        <v>59</v>
      </c>
      <c r="G8" s="15">
        <v>193</v>
      </c>
      <c r="H8" s="15">
        <v>88</v>
      </c>
      <c r="I8" s="46">
        <f t="shared" si="2"/>
        <v>90</v>
      </c>
      <c r="J8" s="46">
        <f t="shared" si="3"/>
        <v>58</v>
      </c>
      <c r="K8" s="20">
        <v>148</v>
      </c>
      <c r="L8" s="20">
        <v>77</v>
      </c>
      <c r="M8" s="46">
        <f t="shared" si="4"/>
        <v>79</v>
      </c>
      <c r="N8" s="46">
        <f t="shared" si="5"/>
        <v>53</v>
      </c>
      <c r="O8" s="21">
        <v>131</v>
      </c>
      <c r="P8" s="21"/>
      <c r="Q8" s="46">
        <f t="shared" si="6"/>
        <v>74</v>
      </c>
      <c r="R8" s="46">
        <f t="shared" si="7"/>
        <v>0</v>
      </c>
      <c r="S8" s="16"/>
    </row>
    <row r="9" spans="1:19" x14ac:dyDescent="0.25">
      <c r="A9" s="6">
        <v>6</v>
      </c>
      <c r="B9" s="8" t="s">
        <v>7</v>
      </c>
      <c r="C9" s="15">
        <v>31</v>
      </c>
      <c r="D9" s="15">
        <v>22</v>
      </c>
      <c r="E9" s="46">
        <f t="shared" si="0"/>
        <v>27</v>
      </c>
      <c r="F9" s="46">
        <f t="shared" si="1"/>
        <v>20</v>
      </c>
      <c r="G9" s="15">
        <v>43</v>
      </c>
      <c r="H9" s="15">
        <v>25</v>
      </c>
      <c r="I9" s="46">
        <f t="shared" si="2"/>
        <v>35</v>
      </c>
      <c r="J9" s="46">
        <f t="shared" si="3"/>
        <v>22</v>
      </c>
      <c r="K9" s="20">
        <v>48</v>
      </c>
      <c r="L9" s="20">
        <v>41</v>
      </c>
      <c r="M9" s="46">
        <f t="shared" si="4"/>
        <v>38</v>
      </c>
      <c r="N9" s="46">
        <f t="shared" si="5"/>
        <v>33</v>
      </c>
      <c r="O9" s="21">
        <v>45</v>
      </c>
      <c r="P9" s="21"/>
      <c r="Q9" s="46">
        <f t="shared" si="6"/>
        <v>36</v>
      </c>
      <c r="R9" s="46">
        <f t="shared" si="7"/>
        <v>0</v>
      </c>
      <c r="S9" s="16"/>
    </row>
    <row r="10" spans="1:19" x14ac:dyDescent="0.25">
      <c r="A10" s="6">
        <v>7</v>
      </c>
      <c r="B10" s="8" t="s">
        <v>1</v>
      </c>
      <c r="C10" s="15">
        <v>8</v>
      </c>
      <c r="D10" s="15">
        <v>20</v>
      </c>
      <c r="E10" s="46">
        <f t="shared" si="0"/>
        <v>8</v>
      </c>
      <c r="F10" s="46">
        <f t="shared" si="1"/>
        <v>18</v>
      </c>
      <c r="G10" s="15">
        <v>8</v>
      </c>
      <c r="H10" s="15">
        <v>11</v>
      </c>
      <c r="I10" s="46">
        <f t="shared" si="2"/>
        <v>8</v>
      </c>
      <c r="J10" s="46">
        <f t="shared" si="3"/>
        <v>11</v>
      </c>
      <c r="K10" s="20">
        <v>4</v>
      </c>
      <c r="L10" s="20">
        <v>23</v>
      </c>
      <c r="M10" s="46">
        <f t="shared" si="4"/>
        <v>4</v>
      </c>
      <c r="N10" s="46">
        <f t="shared" si="5"/>
        <v>21</v>
      </c>
      <c r="O10" s="21">
        <v>9</v>
      </c>
      <c r="P10" s="21"/>
      <c r="Q10" s="46">
        <f t="shared" si="6"/>
        <v>9</v>
      </c>
      <c r="R10" s="46">
        <f t="shared" si="7"/>
        <v>0</v>
      </c>
      <c r="S10" s="16"/>
    </row>
    <row r="11" spans="1:19" x14ac:dyDescent="0.25">
      <c r="A11" s="6">
        <v>8</v>
      </c>
      <c r="B11" s="8" t="s">
        <v>19</v>
      </c>
      <c r="C11" s="15">
        <v>28</v>
      </c>
      <c r="D11" s="15">
        <v>52</v>
      </c>
      <c r="E11" s="46">
        <f t="shared" si="0"/>
        <v>25</v>
      </c>
      <c r="F11" s="46">
        <f t="shared" si="1"/>
        <v>40</v>
      </c>
      <c r="G11" s="15">
        <v>48</v>
      </c>
      <c r="H11" s="15">
        <v>43</v>
      </c>
      <c r="I11" s="46">
        <f t="shared" si="2"/>
        <v>38</v>
      </c>
      <c r="J11" s="46">
        <f t="shared" si="3"/>
        <v>35</v>
      </c>
      <c r="K11" s="20">
        <v>27</v>
      </c>
      <c r="L11" s="20">
        <v>56</v>
      </c>
      <c r="M11" s="46">
        <f t="shared" si="4"/>
        <v>24</v>
      </c>
      <c r="N11" s="46">
        <f t="shared" si="5"/>
        <v>42</v>
      </c>
      <c r="O11" s="21">
        <v>39</v>
      </c>
      <c r="P11" s="21"/>
      <c r="Q11" s="46">
        <f t="shared" si="6"/>
        <v>32</v>
      </c>
      <c r="R11" s="46">
        <f t="shared" si="7"/>
        <v>0</v>
      </c>
      <c r="S11" s="16"/>
    </row>
    <row r="12" spans="1:19" x14ac:dyDescent="0.25">
      <c r="A12" s="6">
        <v>9</v>
      </c>
      <c r="B12" s="8" t="s">
        <v>4</v>
      </c>
      <c r="C12" s="15">
        <v>53</v>
      </c>
      <c r="D12" s="15">
        <v>37</v>
      </c>
      <c r="E12" s="46">
        <f t="shared" si="0"/>
        <v>41</v>
      </c>
      <c r="F12" s="46">
        <f t="shared" si="1"/>
        <v>31</v>
      </c>
      <c r="G12" s="15">
        <v>56</v>
      </c>
      <c r="H12" s="15">
        <v>55</v>
      </c>
      <c r="I12" s="46">
        <f t="shared" si="2"/>
        <v>42</v>
      </c>
      <c r="J12" s="46">
        <f t="shared" si="3"/>
        <v>42</v>
      </c>
      <c r="K12" s="20">
        <v>58</v>
      </c>
      <c r="L12" s="20">
        <v>45</v>
      </c>
      <c r="M12" s="46">
        <f t="shared" si="4"/>
        <v>44</v>
      </c>
      <c r="N12" s="46">
        <f t="shared" si="5"/>
        <v>36</v>
      </c>
      <c r="O12" s="21">
        <v>51</v>
      </c>
      <c r="P12" s="21"/>
      <c r="Q12" s="46">
        <f t="shared" si="6"/>
        <v>40</v>
      </c>
      <c r="R12" s="46">
        <f t="shared" si="7"/>
        <v>0</v>
      </c>
      <c r="S12" s="16"/>
    </row>
    <row r="13" spans="1:19" ht="29.1" customHeight="1" x14ac:dyDescent="0.25">
      <c r="A13" s="6">
        <v>10</v>
      </c>
      <c r="B13" s="8" t="s">
        <v>33</v>
      </c>
      <c r="C13" s="15">
        <v>51</v>
      </c>
      <c r="D13" s="15">
        <v>35</v>
      </c>
      <c r="E13" s="46">
        <f t="shared" si="0"/>
        <v>40</v>
      </c>
      <c r="F13" s="46">
        <f t="shared" si="1"/>
        <v>30</v>
      </c>
      <c r="G13" s="15">
        <v>80</v>
      </c>
      <c r="H13" s="15">
        <v>34</v>
      </c>
      <c r="I13" s="46">
        <f t="shared" si="2"/>
        <v>55</v>
      </c>
      <c r="J13" s="46">
        <f t="shared" si="3"/>
        <v>29</v>
      </c>
      <c r="K13" s="20">
        <v>70</v>
      </c>
      <c r="L13" s="20">
        <v>27</v>
      </c>
      <c r="M13" s="46">
        <f t="shared" si="4"/>
        <v>50</v>
      </c>
      <c r="N13" s="46">
        <f t="shared" si="5"/>
        <v>24</v>
      </c>
      <c r="O13" s="21">
        <v>45</v>
      </c>
      <c r="P13" s="21"/>
      <c r="Q13" s="46">
        <f t="shared" si="6"/>
        <v>36</v>
      </c>
      <c r="R13" s="46">
        <f t="shared" si="7"/>
        <v>0</v>
      </c>
      <c r="S13" s="16"/>
    </row>
    <row r="14" spans="1:19" x14ac:dyDescent="0.25">
      <c r="A14" s="7"/>
      <c r="B14" s="9" t="s">
        <v>10</v>
      </c>
      <c r="C14" s="17">
        <f>SUM(C4:C13)</f>
        <v>440</v>
      </c>
      <c r="D14" s="17">
        <f>SUM(D4:D13)</f>
        <v>395</v>
      </c>
      <c r="E14" s="47"/>
      <c r="F14" s="47"/>
      <c r="G14" s="17">
        <f>SUM(G4:G13)</f>
        <v>598</v>
      </c>
      <c r="H14" s="17">
        <f>SUM(H4:H13)</f>
        <v>433</v>
      </c>
      <c r="I14" s="47"/>
      <c r="J14" s="47"/>
      <c r="K14" s="17">
        <f>SUM(K4:K13)</f>
        <v>483</v>
      </c>
      <c r="L14" s="17">
        <f>SUM(L4:L13)</f>
        <v>441</v>
      </c>
      <c r="M14" s="47"/>
      <c r="N14" s="47"/>
      <c r="O14" s="17">
        <f>SUM(O4:O13)</f>
        <v>457</v>
      </c>
      <c r="P14" s="17">
        <f>SUM(P4:P13)</f>
        <v>0</v>
      </c>
      <c r="Q14" s="49"/>
      <c r="R14" s="49"/>
      <c r="S14" s="16"/>
    </row>
    <row r="15" spans="1:19" x14ac:dyDescent="0.25">
      <c r="A15" s="7">
        <v>11</v>
      </c>
      <c r="B15" s="10" t="s">
        <v>9</v>
      </c>
      <c r="C15" s="18">
        <v>14</v>
      </c>
      <c r="D15" s="18">
        <v>1</v>
      </c>
      <c r="E15" s="46">
        <f>ROUNDUP((C15*0.5*0.5)/(((C15-1)*(0.05^2))/(1.282^2)+(0.5*0.5)),0)</f>
        <v>13</v>
      </c>
      <c r="F15" s="46">
        <f t="shared" ref="F15:R15" si="8">ROUNDUP((D15*0.5*0.5)/(((D15-1)*(0.05^2))/(1.282^2)+(0.5*0.5)),0)</f>
        <v>1</v>
      </c>
      <c r="G15" s="58">
        <v>13</v>
      </c>
      <c r="H15" s="58">
        <v>0</v>
      </c>
      <c r="I15" s="46">
        <f t="shared" si="8"/>
        <v>13</v>
      </c>
      <c r="J15" s="46">
        <f t="shared" si="8"/>
        <v>0</v>
      </c>
      <c r="K15" s="58">
        <v>4</v>
      </c>
      <c r="L15" s="58">
        <v>1</v>
      </c>
      <c r="M15" s="46">
        <f t="shared" si="8"/>
        <v>4</v>
      </c>
      <c r="N15" s="46">
        <f t="shared" si="8"/>
        <v>1</v>
      </c>
      <c r="O15" s="58">
        <v>1</v>
      </c>
      <c r="P15" s="58"/>
      <c r="Q15" s="46">
        <f t="shared" si="8"/>
        <v>1</v>
      </c>
      <c r="R15" s="46">
        <f t="shared" si="8"/>
        <v>0</v>
      </c>
      <c r="S15" s="16"/>
    </row>
    <row r="16" spans="1:19" x14ac:dyDescent="0.25">
      <c r="A16" s="6"/>
      <c r="B16" s="11" t="s">
        <v>11</v>
      </c>
      <c r="C16" s="16"/>
      <c r="D16" s="16"/>
      <c r="E16" s="16"/>
      <c r="F16" s="16"/>
      <c r="G16" s="16"/>
      <c r="H16" s="16"/>
      <c r="I16" s="19"/>
      <c r="J16" s="19"/>
      <c r="K16" s="23"/>
      <c r="L16" s="23"/>
      <c r="M16" s="19"/>
      <c r="N16" s="19"/>
      <c r="O16" s="19"/>
      <c r="P16" s="19"/>
      <c r="Q16" s="19"/>
      <c r="R16" s="19"/>
      <c r="S16" s="16"/>
    </row>
    <row r="17" spans="1:20" ht="14.45" customHeight="1" x14ac:dyDescent="0.25">
      <c r="A17" s="67" t="s">
        <v>17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</row>
    <row r="18" spans="1:20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</row>
    <row r="19" spans="1:20" ht="15" customHeight="1" x14ac:dyDescent="0.25">
      <c r="A19" s="59" t="s">
        <v>20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60"/>
      <c r="M20" s="60"/>
      <c r="N20" s="1"/>
      <c r="O20" s="1"/>
      <c r="P20" s="1"/>
      <c r="Q20" s="1"/>
      <c r="R20" s="1"/>
      <c r="S20" s="1"/>
    </row>
    <row r="21" spans="1:20" x14ac:dyDescent="0.25">
      <c r="A21" s="1" t="s">
        <v>12</v>
      </c>
      <c r="B21" s="3">
        <v>149</v>
      </c>
      <c r="C21" s="3"/>
      <c r="D21" s="3"/>
      <c r="E21" s="3"/>
      <c r="F21" s="3"/>
      <c r="G21" s="3"/>
      <c r="K21" s="5"/>
      <c r="L21" s="5"/>
      <c r="M21" s="1"/>
      <c r="N21" s="1"/>
      <c r="O21" s="1"/>
      <c r="P21" s="1"/>
      <c r="Q21" s="1"/>
      <c r="R21" s="1"/>
      <c r="S21" s="1"/>
    </row>
    <row r="22" spans="1:20" x14ac:dyDescent="0.25">
      <c r="A22" s="1" t="s">
        <v>13</v>
      </c>
      <c r="B22" s="3">
        <v>0.5</v>
      </c>
      <c r="C22" s="3"/>
      <c r="D22" s="3"/>
      <c r="E22" s="3"/>
      <c r="F22" s="3"/>
      <c r="G22" s="3"/>
      <c r="H22" s="5"/>
      <c r="I22" s="5"/>
      <c r="J22" s="5"/>
      <c r="K22" s="5"/>
      <c r="L22" s="5"/>
      <c r="M22" s="1"/>
      <c r="N22" s="1"/>
      <c r="O22" s="1"/>
      <c r="P22" s="1"/>
      <c r="Q22" s="1"/>
      <c r="R22" s="1"/>
      <c r="S22" s="1"/>
    </row>
    <row r="23" spans="1:20" x14ac:dyDescent="0.25">
      <c r="A23" s="1" t="s">
        <v>21</v>
      </c>
      <c r="B23" s="3">
        <v>0.1</v>
      </c>
      <c r="C23" s="3"/>
      <c r="D23" s="3"/>
      <c r="E23" s="3"/>
      <c r="F23" s="3"/>
      <c r="G23" s="3"/>
      <c r="H23" s="5"/>
      <c r="I23" s="5"/>
      <c r="J23" s="5"/>
      <c r="K23" s="5"/>
      <c r="L23" s="5"/>
      <c r="M23" s="4"/>
      <c r="N23" s="1"/>
      <c r="O23" s="1"/>
      <c r="P23" s="1"/>
      <c r="Q23" s="1"/>
      <c r="R23" s="1"/>
      <c r="S23" s="1"/>
    </row>
    <row r="24" spans="1:20" ht="27.75" customHeight="1" x14ac:dyDescent="0.25">
      <c r="A24" s="1" t="s">
        <v>14</v>
      </c>
      <c r="B24" s="2" t="s">
        <v>18</v>
      </c>
      <c r="C24" s="2"/>
      <c r="D24" s="2"/>
      <c r="E24" s="2"/>
      <c r="F24" s="2"/>
      <c r="G24" s="2"/>
      <c r="H24" s="5"/>
      <c r="I24" s="5"/>
      <c r="J24" s="5"/>
      <c r="K24" s="5"/>
      <c r="L24" s="5"/>
      <c r="M24" s="1"/>
      <c r="N24" s="1"/>
      <c r="O24" s="1"/>
      <c r="P24" s="1"/>
      <c r="Q24" s="1"/>
      <c r="R24" s="1"/>
      <c r="S24" s="1"/>
    </row>
    <row r="25" spans="1:20" x14ac:dyDescent="0.25">
      <c r="A25" s="1" t="s">
        <v>15</v>
      </c>
      <c r="B25" s="1" t="s">
        <v>22</v>
      </c>
      <c r="C25" s="1"/>
      <c r="D25" s="1"/>
      <c r="E25" s="1"/>
      <c r="F25" s="1"/>
      <c r="G25" s="1"/>
      <c r="H25" s="1"/>
      <c r="I25" s="1"/>
      <c r="J25" s="1"/>
      <c r="K25" s="1"/>
      <c r="L25" s="60"/>
      <c r="M25" s="60"/>
      <c r="N25" s="1"/>
      <c r="O25" s="1"/>
      <c r="P25" s="1"/>
      <c r="Q25" s="1"/>
      <c r="R25" s="1"/>
      <c r="S25" s="1"/>
    </row>
    <row r="27" spans="1:20" x14ac:dyDescent="0.25">
      <c r="B27" t="s">
        <v>25</v>
      </c>
      <c r="C27" t="s">
        <v>26</v>
      </c>
      <c r="G27" s="13">
        <f>(C4*0.5*0.5)/(((C4-1)*(0.05^2))/(1.282^2)+(0.5*0.5))</f>
        <v>41.398134391927904</v>
      </c>
      <c r="T27" s="25"/>
    </row>
    <row r="28" spans="1:20" x14ac:dyDescent="0.25">
      <c r="B28" t="s">
        <v>27</v>
      </c>
      <c r="C28">
        <v>55</v>
      </c>
      <c r="G28" s="13" t="s">
        <v>52</v>
      </c>
    </row>
    <row r="29" spans="1:20" x14ac:dyDescent="0.25">
      <c r="B29" t="s">
        <v>28</v>
      </c>
      <c r="C29">
        <v>0.5</v>
      </c>
    </row>
    <row r="30" spans="1:20" x14ac:dyDescent="0.25">
      <c r="B30" t="s">
        <v>29</v>
      </c>
      <c r="C30" s="51">
        <v>1.282</v>
      </c>
    </row>
    <row r="31" spans="1:20" x14ac:dyDescent="0.25">
      <c r="B31" t="s">
        <v>30</v>
      </c>
      <c r="C31" s="50">
        <v>0.05</v>
      </c>
    </row>
    <row r="33" spans="2:3" x14ac:dyDescent="0.25">
      <c r="B33" t="s">
        <v>31</v>
      </c>
      <c r="C33">
        <f>(C28*C29*(1-C29)) / (((C28-1)*(C31^2))/(C30^2) + C29*(1-C29))</f>
        <v>41.398134391927904</v>
      </c>
    </row>
  </sheetData>
  <mergeCells count="15">
    <mergeCell ref="A19:S19"/>
    <mergeCell ref="L25:M25"/>
    <mergeCell ref="A1:S1"/>
    <mergeCell ref="Q2:R2"/>
    <mergeCell ref="L20:M20"/>
    <mergeCell ref="A2:A3"/>
    <mergeCell ref="B2:B3"/>
    <mergeCell ref="C2:D2"/>
    <mergeCell ref="G2:H2"/>
    <mergeCell ref="E2:F2"/>
    <mergeCell ref="M2:N2"/>
    <mergeCell ref="I2:J2"/>
    <mergeCell ref="K2:L2"/>
    <mergeCell ref="O2:P2"/>
    <mergeCell ref="A17:S18"/>
  </mergeCells>
  <pageMargins left="0.25" right="0.2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1A8D4-AC78-4485-8768-9911F15183DD}">
  <dimension ref="A1:Z19"/>
  <sheetViews>
    <sheetView zoomScaleNormal="100" workbookViewId="0">
      <selection activeCell="H13" sqref="H13"/>
    </sheetView>
  </sheetViews>
  <sheetFormatPr baseColWidth="10" defaultRowHeight="15" x14ac:dyDescent="0.25"/>
  <cols>
    <col min="1" max="1" width="3" bestFit="1" customWidth="1"/>
    <col min="2" max="2" width="27.140625" customWidth="1"/>
    <col min="3" max="3" width="4" bestFit="1" customWidth="1"/>
    <col min="4" max="4" width="4.140625" bestFit="1" customWidth="1"/>
    <col min="5" max="5" width="3.85546875" customWidth="1"/>
    <col min="6" max="6" width="5" customWidth="1"/>
    <col min="7" max="8" width="5.140625" customWidth="1"/>
    <col min="9" max="9" width="4" bestFit="1" customWidth="1"/>
    <col min="10" max="10" width="4.140625" bestFit="1" customWidth="1"/>
    <col min="11" max="11" width="4.28515625" customWidth="1"/>
    <col min="12" max="12" width="5.140625" customWidth="1"/>
    <col min="13" max="14" width="4.85546875" customWidth="1"/>
    <col min="15" max="15" width="4" bestFit="1" customWidth="1"/>
    <col min="16" max="16" width="4.140625" bestFit="1" customWidth="1"/>
    <col min="17" max="17" width="4.28515625" customWidth="1"/>
    <col min="18" max="18" width="5" customWidth="1"/>
    <col min="19" max="20" width="5.140625" customWidth="1"/>
    <col min="21" max="21" width="4" bestFit="1" customWidth="1"/>
    <col min="22" max="22" width="4.140625" bestFit="1" customWidth="1"/>
    <col min="23" max="23" width="4.42578125" customWidth="1"/>
    <col min="24" max="24" width="5.140625" customWidth="1"/>
    <col min="25" max="25" width="4.5703125" customWidth="1"/>
    <col min="26" max="26" width="4.7109375" customWidth="1"/>
    <col min="27" max="27" width="5.7109375" customWidth="1"/>
  </cols>
  <sheetData>
    <row r="1" spans="1:26" x14ac:dyDescent="0.25">
      <c r="A1" t="s">
        <v>32</v>
      </c>
    </row>
    <row r="2" spans="1:26" ht="31.5" customHeight="1" x14ac:dyDescent="0.25">
      <c r="A2" s="73" t="s">
        <v>35</v>
      </c>
      <c r="B2" s="73"/>
      <c r="C2" s="74">
        <v>2022</v>
      </c>
      <c r="D2" s="72"/>
      <c r="E2" s="76" t="s">
        <v>16</v>
      </c>
      <c r="F2" s="77"/>
      <c r="G2" s="74" t="s">
        <v>36</v>
      </c>
      <c r="H2" s="75"/>
      <c r="I2" s="71">
        <v>2023</v>
      </c>
      <c r="J2" s="72"/>
      <c r="K2" s="76" t="s">
        <v>16</v>
      </c>
      <c r="L2" s="77"/>
      <c r="M2" s="74" t="s">
        <v>36</v>
      </c>
      <c r="N2" s="75"/>
      <c r="O2" s="71">
        <v>2024</v>
      </c>
      <c r="P2" s="72"/>
      <c r="Q2" s="76" t="s">
        <v>16</v>
      </c>
      <c r="R2" s="77"/>
      <c r="S2" s="74" t="s">
        <v>36</v>
      </c>
      <c r="T2" s="75"/>
      <c r="U2" s="71">
        <v>2025</v>
      </c>
      <c r="V2" s="72"/>
      <c r="W2" s="76" t="s">
        <v>16</v>
      </c>
      <c r="X2" s="77"/>
      <c r="Y2" s="69" t="s">
        <v>36</v>
      </c>
      <c r="Z2" s="70"/>
    </row>
    <row r="3" spans="1:26" ht="15" customHeight="1" x14ac:dyDescent="0.25">
      <c r="A3" s="73"/>
      <c r="B3" s="73"/>
      <c r="C3" s="29" t="s">
        <v>23</v>
      </c>
      <c r="D3" s="29" t="s">
        <v>24</v>
      </c>
      <c r="E3" s="52" t="s">
        <v>23</v>
      </c>
      <c r="F3" s="52" t="s">
        <v>24</v>
      </c>
      <c r="G3" s="29" t="s">
        <v>23</v>
      </c>
      <c r="H3" s="29" t="s">
        <v>24</v>
      </c>
      <c r="I3" s="30" t="s">
        <v>23</v>
      </c>
      <c r="J3" s="29" t="s">
        <v>24</v>
      </c>
      <c r="K3" s="52" t="s">
        <v>23</v>
      </c>
      <c r="L3" s="52" t="s">
        <v>24</v>
      </c>
      <c r="M3" s="29" t="s">
        <v>23</v>
      </c>
      <c r="N3" s="29" t="s">
        <v>24</v>
      </c>
      <c r="O3" s="30" t="s">
        <v>23</v>
      </c>
      <c r="P3" s="29" t="s">
        <v>24</v>
      </c>
      <c r="Q3" s="52" t="s">
        <v>23</v>
      </c>
      <c r="R3" s="52" t="s">
        <v>24</v>
      </c>
      <c r="S3" s="29" t="s">
        <v>23</v>
      </c>
      <c r="T3" s="29" t="s">
        <v>24</v>
      </c>
      <c r="U3" s="30" t="s">
        <v>23</v>
      </c>
      <c r="V3" s="29" t="s">
        <v>24</v>
      </c>
      <c r="W3" s="52" t="s">
        <v>23</v>
      </c>
      <c r="X3" s="52" t="s">
        <v>24</v>
      </c>
      <c r="Y3" s="29" t="s">
        <v>23</v>
      </c>
      <c r="Z3" s="29" t="s">
        <v>24</v>
      </c>
    </row>
    <row r="4" spans="1:26" ht="15" customHeight="1" x14ac:dyDescent="0.25">
      <c r="A4" s="28">
        <v>1</v>
      </c>
      <c r="B4" s="28" t="s">
        <v>2</v>
      </c>
      <c r="C4" s="28">
        <v>55</v>
      </c>
      <c r="D4" s="28">
        <v>57</v>
      </c>
      <c r="E4" s="53">
        <f>ROUNDUP((C4*0.5*0.5)/(((C4-1)*(0.05^2))/(1.282^2)+(0.5*0.5)),0)</f>
        <v>42</v>
      </c>
      <c r="F4" s="53">
        <f>ROUNDUP((D4*0.5*0.5)/(((D4-1)*(0.05^2))/(1.282^2)+(0.5*0.5)),0)</f>
        <v>43</v>
      </c>
      <c r="G4" s="28"/>
      <c r="H4" s="32"/>
      <c r="I4" s="31">
        <v>71</v>
      </c>
      <c r="J4" s="28">
        <v>77</v>
      </c>
      <c r="K4" s="53">
        <f>ROUNDUP((I4*0.5*0.5)/(((I4-1)*(0.05^2))/(1.282^2)+(0.5*0.5)),0)</f>
        <v>50</v>
      </c>
      <c r="L4" s="53">
        <f>ROUNDUP((J4*0.5*0.5)/(((J4-1)*(0.05^2))/(1.282^2)+(0.5*0.5)),0)</f>
        <v>53</v>
      </c>
      <c r="M4" s="28"/>
      <c r="N4" s="32"/>
      <c r="O4" s="31">
        <v>57</v>
      </c>
      <c r="P4" s="28">
        <v>94</v>
      </c>
      <c r="Q4" s="53">
        <f>ROUNDUP((O4*0.5*0.5)/(((O4-1)*(0.05^2))/(1.282^2)+(0.5*0.5)),0)</f>
        <v>43</v>
      </c>
      <c r="R4" s="53">
        <f>ROUNDUP((P4*0.5*0.5)/(((P4-1)*(0.05^2))/(1.282^2)+(0.5*0.5)),0)</f>
        <v>61</v>
      </c>
      <c r="S4" s="28"/>
      <c r="T4" s="32"/>
      <c r="U4" s="31">
        <v>61</v>
      </c>
      <c r="V4" s="28"/>
      <c r="W4" s="53">
        <f>ROUNDUP((U4*0.5*0.5)/(((U4-1)*(0.05^2))/(1.282^2)+(0.5*0.5)),0)</f>
        <v>45</v>
      </c>
      <c r="X4" s="53">
        <f>ROUNDUP((V4*0.5*0.5)/(((V4-1)*(0.05^2))/(1.282^2)+(0.5*0.5)),0)</f>
        <v>0</v>
      </c>
      <c r="Y4" s="12"/>
      <c r="Z4" s="33"/>
    </row>
    <row r="5" spans="1:26" x14ac:dyDescent="0.25">
      <c r="A5" s="28">
        <v>2</v>
      </c>
      <c r="B5" s="28" t="s">
        <v>5</v>
      </c>
      <c r="C5" s="28">
        <v>12</v>
      </c>
      <c r="D5" s="28">
        <v>15</v>
      </c>
      <c r="E5" s="53">
        <f t="shared" ref="E5:E13" si="0">ROUNDUP((C5*0.5*0.5)/(((C5-1)*(0.05^2))/(1.282^2)+(0.5*0.5)),0)</f>
        <v>12</v>
      </c>
      <c r="F5" s="53">
        <f t="shared" ref="F5:F13" si="1">ROUNDUP((D5*0.5*0.5)/(((D5-1)*(0.05^2))/(1.282^2)+(0.5*0.5)),0)</f>
        <v>14</v>
      </c>
      <c r="G5" s="28"/>
      <c r="H5" s="32"/>
      <c r="I5" s="31">
        <v>23</v>
      </c>
      <c r="J5" s="28">
        <v>12</v>
      </c>
      <c r="K5" s="53">
        <f t="shared" ref="K5:K13" si="2">ROUNDUP((I5*0.5*0.5)/(((I5-1)*(0.05^2))/(1.282^2)+(0.5*0.5)),0)</f>
        <v>21</v>
      </c>
      <c r="L5" s="53">
        <f t="shared" ref="L5:L13" si="3">ROUNDUP((J5*0.5*0.5)/(((J5-1)*(0.05^2))/(1.282^2)+(0.5*0.5)),0)</f>
        <v>12</v>
      </c>
      <c r="M5" s="28"/>
      <c r="N5" s="32"/>
      <c r="O5" s="31">
        <v>9</v>
      </c>
      <c r="P5" s="28">
        <v>17</v>
      </c>
      <c r="Q5" s="53">
        <f t="shared" ref="Q5:Q13" si="4">ROUNDUP((O5*0.5*0.5)/(((O5-1)*(0.05^2))/(1.282^2)+(0.5*0.5)),0)</f>
        <v>9</v>
      </c>
      <c r="R5" s="53">
        <f t="shared" ref="R5:R13" si="5">ROUNDUP((P5*0.5*0.5)/(((P5-1)*(0.05^2))/(1.282^2)+(0.5*0.5)),0)</f>
        <v>16</v>
      </c>
      <c r="S5" s="28"/>
      <c r="T5" s="32"/>
      <c r="U5" s="31">
        <v>17</v>
      </c>
      <c r="V5" s="28"/>
      <c r="W5" s="53">
        <f t="shared" ref="W5:W13" si="6">ROUNDUP((U5*0.5*0.5)/(((U5-1)*(0.05^2))/(1.282^2)+(0.5*0.5)),0)</f>
        <v>16</v>
      </c>
      <c r="X5" s="53">
        <f t="shared" ref="X5:X13" si="7">ROUNDUP((V5*0.5*0.5)/(((V5-1)*(0.05^2))/(1.282^2)+(0.5*0.5)),0)</f>
        <v>0</v>
      </c>
      <c r="Y5" s="12"/>
      <c r="Z5" s="33"/>
    </row>
    <row r="6" spans="1:26" x14ac:dyDescent="0.25">
      <c r="A6" s="28">
        <v>3</v>
      </c>
      <c r="B6" s="28" t="s">
        <v>3</v>
      </c>
      <c r="C6" s="28">
        <v>12</v>
      </c>
      <c r="D6" s="28">
        <v>11</v>
      </c>
      <c r="E6" s="53">
        <f t="shared" si="0"/>
        <v>12</v>
      </c>
      <c r="F6" s="53">
        <f t="shared" si="1"/>
        <v>11</v>
      </c>
      <c r="G6" s="28"/>
      <c r="H6" s="32"/>
      <c r="I6" s="31">
        <v>13</v>
      </c>
      <c r="J6" s="28">
        <v>13</v>
      </c>
      <c r="K6" s="53">
        <f t="shared" si="2"/>
        <v>13</v>
      </c>
      <c r="L6" s="53">
        <f t="shared" si="3"/>
        <v>13</v>
      </c>
      <c r="M6" s="28"/>
      <c r="N6" s="32"/>
      <c r="O6" s="31">
        <v>9</v>
      </c>
      <c r="P6" s="28">
        <v>16</v>
      </c>
      <c r="Q6" s="53">
        <f t="shared" si="4"/>
        <v>9</v>
      </c>
      <c r="R6" s="53">
        <f t="shared" si="5"/>
        <v>15</v>
      </c>
      <c r="S6" s="28"/>
      <c r="T6" s="32"/>
      <c r="U6" s="31">
        <v>16</v>
      </c>
      <c r="V6" s="28"/>
      <c r="W6" s="53">
        <f t="shared" si="6"/>
        <v>15</v>
      </c>
      <c r="X6" s="53">
        <f t="shared" si="7"/>
        <v>0</v>
      </c>
      <c r="Y6" s="12"/>
      <c r="Z6" s="33"/>
    </row>
    <row r="7" spans="1:26" x14ac:dyDescent="0.25">
      <c r="A7" s="28">
        <v>4</v>
      </c>
      <c r="B7" s="28" t="s">
        <v>6</v>
      </c>
      <c r="C7" s="28">
        <v>36</v>
      </c>
      <c r="D7" s="28">
        <v>55</v>
      </c>
      <c r="E7" s="53">
        <f t="shared" si="0"/>
        <v>30</v>
      </c>
      <c r="F7" s="53">
        <f t="shared" si="1"/>
        <v>42</v>
      </c>
      <c r="G7" s="28"/>
      <c r="H7" s="32"/>
      <c r="I7" s="31">
        <v>63</v>
      </c>
      <c r="J7" s="28">
        <v>75</v>
      </c>
      <c r="K7" s="53">
        <f t="shared" si="2"/>
        <v>46</v>
      </c>
      <c r="L7" s="53">
        <f t="shared" si="3"/>
        <v>52</v>
      </c>
      <c r="M7" s="28"/>
      <c r="N7" s="32"/>
      <c r="O7" s="31">
        <v>53</v>
      </c>
      <c r="P7" s="28">
        <v>45</v>
      </c>
      <c r="Q7" s="53">
        <f t="shared" si="4"/>
        <v>41</v>
      </c>
      <c r="R7" s="53">
        <f t="shared" si="5"/>
        <v>36</v>
      </c>
      <c r="S7" s="28"/>
      <c r="T7" s="32"/>
      <c r="U7" s="31">
        <v>43</v>
      </c>
      <c r="V7" s="28"/>
      <c r="W7" s="53">
        <f t="shared" si="6"/>
        <v>35</v>
      </c>
      <c r="X7" s="53">
        <f t="shared" si="7"/>
        <v>0</v>
      </c>
      <c r="Y7" s="12"/>
      <c r="Z7" s="33"/>
    </row>
    <row r="8" spans="1:26" ht="15" customHeight="1" x14ac:dyDescent="0.25">
      <c r="A8" s="28">
        <v>5</v>
      </c>
      <c r="B8" s="28" t="s">
        <v>0</v>
      </c>
      <c r="C8" s="28">
        <v>154</v>
      </c>
      <c r="D8" s="28">
        <v>91</v>
      </c>
      <c r="E8" s="53">
        <f t="shared" si="0"/>
        <v>80</v>
      </c>
      <c r="F8" s="53">
        <f t="shared" si="1"/>
        <v>59</v>
      </c>
      <c r="G8" s="28"/>
      <c r="H8" s="32"/>
      <c r="I8" s="31">
        <v>193</v>
      </c>
      <c r="J8" s="28">
        <v>88</v>
      </c>
      <c r="K8" s="53">
        <f t="shared" si="2"/>
        <v>90</v>
      </c>
      <c r="L8" s="53">
        <f t="shared" si="3"/>
        <v>58</v>
      </c>
      <c r="M8" s="28"/>
      <c r="N8" s="32"/>
      <c r="O8" s="31">
        <v>148</v>
      </c>
      <c r="P8" s="28">
        <v>77</v>
      </c>
      <c r="Q8" s="53">
        <f t="shared" si="4"/>
        <v>79</v>
      </c>
      <c r="R8" s="53">
        <f t="shared" si="5"/>
        <v>53</v>
      </c>
      <c r="S8" s="28"/>
      <c r="T8" s="32"/>
      <c r="U8" s="31">
        <v>131</v>
      </c>
      <c r="V8" s="28"/>
      <c r="W8" s="53">
        <f t="shared" si="6"/>
        <v>74</v>
      </c>
      <c r="X8" s="53">
        <f t="shared" si="7"/>
        <v>0</v>
      </c>
      <c r="Y8" s="12"/>
      <c r="Z8" s="33"/>
    </row>
    <row r="9" spans="1:26" ht="15" customHeight="1" x14ac:dyDescent="0.25">
      <c r="A9" s="28">
        <v>6</v>
      </c>
      <c r="B9" s="28" t="s">
        <v>7</v>
      </c>
      <c r="C9" s="28">
        <v>31</v>
      </c>
      <c r="D9" s="28">
        <v>22</v>
      </c>
      <c r="E9" s="53">
        <f t="shared" si="0"/>
        <v>27</v>
      </c>
      <c r="F9" s="53">
        <f t="shared" si="1"/>
        <v>20</v>
      </c>
      <c r="G9" s="28"/>
      <c r="H9" s="32"/>
      <c r="I9" s="31">
        <v>43</v>
      </c>
      <c r="J9" s="28">
        <v>25</v>
      </c>
      <c r="K9" s="53">
        <f t="shared" si="2"/>
        <v>35</v>
      </c>
      <c r="L9" s="53">
        <f t="shared" si="3"/>
        <v>22</v>
      </c>
      <c r="M9" s="28"/>
      <c r="N9" s="32"/>
      <c r="O9" s="31">
        <v>48</v>
      </c>
      <c r="P9" s="28">
        <v>41</v>
      </c>
      <c r="Q9" s="53">
        <f t="shared" si="4"/>
        <v>38</v>
      </c>
      <c r="R9" s="53">
        <f t="shared" si="5"/>
        <v>33</v>
      </c>
      <c r="S9" s="28"/>
      <c r="T9" s="32"/>
      <c r="U9" s="31">
        <v>45</v>
      </c>
      <c r="V9" s="28"/>
      <c r="W9" s="53">
        <f t="shared" si="6"/>
        <v>36</v>
      </c>
      <c r="X9" s="53">
        <f t="shared" si="7"/>
        <v>0</v>
      </c>
      <c r="Y9" s="12"/>
      <c r="Z9" s="33"/>
    </row>
    <row r="10" spans="1:26" x14ac:dyDescent="0.25">
      <c r="A10" s="28">
        <v>7</v>
      </c>
      <c r="B10" s="28" t="s">
        <v>1</v>
      </c>
      <c r="C10" s="28">
        <v>8</v>
      </c>
      <c r="D10" s="28">
        <v>20</v>
      </c>
      <c r="E10" s="53">
        <f t="shared" si="0"/>
        <v>8</v>
      </c>
      <c r="F10" s="53">
        <f t="shared" si="1"/>
        <v>18</v>
      </c>
      <c r="G10" s="28"/>
      <c r="H10" s="32"/>
      <c r="I10" s="31">
        <v>8</v>
      </c>
      <c r="J10" s="28">
        <v>11</v>
      </c>
      <c r="K10" s="53">
        <f t="shared" si="2"/>
        <v>8</v>
      </c>
      <c r="L10" s="53">
        <f t="shared" si="3"/>
        <v>11</v>
      </c>
      <c r="M10" s="28"/>
      <c r="N10" s="32"/>
      <c r="O10" s="31">
        <v>4</v>
      </c>
      <c r="P10" s="28">
        <v>23</v>
      </c>
      <c r="Q10" s="53">
        <f t="shared" si="4"/>
        <v>4</v>
      </c>
      <c r="R10" s="53">
        <f t="shared" si="5"/>
        <v>21</v>
      </c>
      <c r="S10" s="28"/>
      <c r="T10" s="32"/>
      <c r="U10" s="31">
        <v>9</v>
      </c>
      <c r="V10" s="28"/>
      <c r="W10" s="53">
        <f t="shared" si="6"/>
        <v>9</v>
      </c>
      <c r="X10" s="53">
        <f t="shared" si="7"/>
        <v>0</v>
      </c>
      <c r="Y10" s="12"/>
      <c r="Z10" s="33"/>
    </row>
    <row r="11" spans="1:26" x14ac:dyDescent="0.25">
      <c r="A11" s="28">
        <v>8</v>
      </c>
      <c r="B11" s="28" t="s">
        <v>19</v>
      </c>
      <c r="C11" s="28">
        <v>28</v>
      </c>
      <c r="D11" s="28">
        <v>52</v>
      </c>
      <c r="E11" s="53">
        <f t="shared" si="0"/>
        <v>25</v>
      </c>
      <c r="F11" s="53">
        <f t="shared" si="1"/>
        <v>40</v>
      </c>
      <c r="G11" s="28"/>
      <c r="H11" s="32"/>
      <c r="I11" s="31">
        <v>48</v>
      </c>
      <c r="J11" s="28">
        <v>43</v>
      </c>
      <c r="K11" s="53">
        <f t="shared" si="2"/>
        <v>38</v>
      </c>
      <c r="L11" s="53">
        <f t="shared" si="3"/>
        <v>35</v>
      </c>
      <c r="M11" s="28"/>
      <c r="N11" s="32"/>
      <c r="O11" s="31">
        <v>27</v>
      </c>
      <c r="P11" s="28">
        <v>56</v>
      </c>
      <c r="Q11" s="53">
        <f t="shared" si="4"/>
        <v>24</v>
      </c>
      <c r="R11" s="53">
        <f t="shared" si="5"/>
        <v>42</v>
      </c>
      <c r="S11" s="28"/>
      <c r="T11" s="32"/>
      <c r="U11" s="31">
        <v>39</v>
      </c>
      <c r="V11" s="28"/>
      <c r="W11" s="53">
        <f t="shared" si="6"/>
        <v>32</v>
      </c>
      <c r="X11" s="53">
        <f t="shared" si="7"/>
        <v>0</v>
      </c>
      <c r="Y11" s="12"/>
      <c r="Z11" s="33"/>
    </row>
    <row r="12" spans="1:26" x14ac:dyDescent="0.25">
      <c r="A12" s="28">
        <v>9</v>
      </c>
      <c r="B12" s="28" t="s">
        <v>4</v>
      </c>
      <c r="C12" s="28">
        <v>53</v>
      </c>
      <c r="D12" s="28">
        <v>37</v>
      </c>
      <c r="E12" s="53">
        <f t="shared" si="0"/>
        <v>41</v>
      </c>
      <c r="F12" s="53">
        <f t="shared" si="1"/>
        <v>31</v>
      </c>
      <c r="G12" s="28"/>
      <c r="H12" s="32"/>
      <c r="I12" s="31">
        <v>56</v>
      </c>
      <c r="J12" s="28">
        <v>55</v>
      </c>
      <c r="K12" s="53">
        <f t="shared" si="2"/>
        <v>42</v>
      </c>
      <c r="L12" s="53">
        <f t="shared" si="3"/>
        <v>42</v>
      </c>
      <c r="M12" s="28"/>
      <c r="N12" s="32"/>
      <c r="O12" s="31">
        <v>58</v>
      </c>
      <c r="P12" s="28">
        <v>45</v>
      </c>
      <c r="Q12" s="53">
        <f t="shared" si="4"/>
        <v>44</v>
      </c>
      <c r="R12" s="53">
        <f t="shared" si="5"/>
        <v>36</v>
      </c>
      <c r="S12" s="28"/>
      <c r="T12" s="32"/>
      <c r="U12" s="31">
        <v>51</v>
      </c>
      <c r="V12" s="28"/>
      <c r="W12" s="53">
        <f t="shared" si="6"/>
        <v>40</v>
      </c>
      <c r="X12" s="53">
        <f t="shared" si="7"/>
        <v>0</v>
      </c>
      <c r="Y12" s="12"/>
      <c r="Z12" s="33"/>
    </row>
    <row r="13" spans="1:26" ht="17.25" customHeight="1" x14ac:dyDescent="0.25">
      <c r="A13" s="28">
        <v>10</v>
      </c>
      <c r="B13" s="28" t="s">
        <v>33</v>
      </c>
      <c r="C13" s="28">
        <v>51</v>
      </c>
      <c r="D13" s="28">
        <v>35</v>
      </c>
      <c r="E13" s="53">
        <f t="shared" si="0"/>
        <v>40</v>
      </c>
      <c r="F13" s="53">
        <f t="shared" si="1"/>
        <v>30</v>
      </c>
      <c r="G13" s="28"/>
      <c r="H13" s="32"/>
      <c r="I13" s="31">
        <v>80</v>
      </c>
      <c r="J13" s="28">
        <v>34</v>
      </c>
      <c r="K13" s="53">
        <f t="shared" si="2"/>
        <v>55</v>
      </c>
      <c r="L13" s="53">
        <f t="shared" si="3"/>
        <v>29</v>
      </c>
      <c r="M13" s="28"/>
      <c r="N13" s="32"/>
      <c r="O13" s="31">
        <v>70</v>
      </c>
      <c r="P13" s="28">
        <v>27</v>
      </c>
      <c r="Q13" s="53">
        <f t="shared" si="4"/>
        <v>50</v>
      </c>
      <c r="R13" s="53">
        <f t="shared" si="5"/>
        <v>24</v>
      </c>
      <c r="S13" s="28"/>
      <c r="T13" s="32"/>
      <c r="U13" s="31">
        <v>45</v>
      </c>
      <c r="V13" s="28"/>
      <c r="W13" s="53">
        <f t="shared" si="6"/>
        <v>36</v>
      </c>
      <c r="X13" s="53">
        <f t="shared" si="7"/>
        <v>0</v>
      </c>
      <c r="Y13" s="12"/>
      <c r="Z13" s="33"/>
    </row>
    <row r="14" spans="1:26" x14ac:dyDescent="0.25">
      <c r="A14" s="28"/>
      <c r="B14" s="34" t="s">
        <v>10</v>
      </c>
      <c r="C14" s="28">
        <f>SUM(C4:C13)</f>
        <v>440</v>
      </c>
      <c r="D14" s="28">
        <f>SUM(D4:D13)</f>
        <v>395</v>
      </c>
      <c r="E14" s="54"/>
      <c r="F14" s="54"/>
      <c r="G14" s="28"/>
      <c r="H14" s="32"/>
      <c r="I14" s="31">
        <f>SUM(I4:I13)</f>
        <v>598</v>
      </c>
      <c r="J14" s="28">
        <f>SUM(J4:J13)</f>
        <v>433</v>
      </c>
      <c r="K14" s="54"/>
      <c r="L14" s="54"/>
      <c r="M14" s="28"/>
      <c r="N14" s="32"/>
      <c r="O14" s="31">
        <f>SUM(O4:O13)</f>
        <v>483</v>
      </c>
      <c r="P14" s="28">
        <f>SUM(P4:P13)</f>
        <v>441</v>
      </c>
      <c r="Q14" s="54"/>
      <c r="R14" s="54"/>
      <c r="S14" s="54"/>
      <c r="T14" s="55"/>
      <c r="U14" s="56">
        <f>SUM(U4:U13)</f>
        <v>457</v>
      </c>
      <c r="V14" s="54">
        <f>SUM(V4:V13)</f>
        <v>0</v>
      </c>
      <c r="W14" s="54"/>
      <c r="X14" s="54"/>
      <c r="Y14" s="57"/>
      <c r="Z14" s="33"/>
    </row>
    <row r="15" spans="1:26" x14ac:dyDescent="0.25">
      <c r="A15" s="28">
        <v>11</v>
      </c>
      <c r="B15" s="28" t="s">
        <v>9</v>
      </c>
      <c r="C15" s="28">
        <v>14</v>
      </c>
      <c r="D15" s="28">
        <v>1</v>
      </c>
      <c r="E15" s="53">
        <f>ROUNDUP((C15*0.5*0.5)/(((C15-1)*(0.05^2))/(1.282^2)+(0.5*0.5)),0)</f>
        <v>13</v>
      </c>
      <c r="F15" s="53">
        <f>ROUNDUP((D15*0.5*0.5)/(((D15-1)*(0.05^2))/(1.282^2)+(0.5*0.5)),0)</f>
        <v>1</v>
      </c>
      <c r="G15" s="28"/>
      <c r="H15" s="32"/>
      <c r="I15" s="31">
        <v>13</v>
      </c>
      <c r="J15" s="28">
        <v>0</v>
      </c>
      <c r="K15" s="53">
        <f>ROUNDUP((I15*0.5*0.5)/(((I15-1)*(0.05^2))/(1.282^2)+(0.5*0.5)),0)</f>
        <v>13</v>
      </c>
      <c r="L15" s="53">
        <f>ROUNDUP((J15*0.5*0.5)/(((J15-1)*(0.05^2))/(1.282^2)+(0.5*0.5)),0)</f>
        <v>0</v>
      </c>
      <c r="M15" s="28"/>
      <c r="N15" s="32"/>
      <c r="O15" s="31">
        <v>4</v>
      </c>
      <c r="P15" s="28">
        <v>1</v>
      </c>
      <c r="Q15" s="53">
        <f>ROUNDUP((O15*0.5*0.5)/(((O15-1)*(0.05^2))/(1.282^2)+(0.5*0.5)),0)</f>
        <v>4</v>
      </c>
      <c r="R15" s="53">
        <f>ROUNDUP((P15*0.5*0.5)/(((P15-1)*(0.05^2))/(1.282^2)+(0.5*0.5)),0)</f>
        <v>1</v>
      </c>
      <c r="S15" s="28"/>
      <c r="T15" s="32"/>
      <c r="U15" s="31">
        <v>1</v>
      </c>
      <c r="V15" s="28"/>
      <c r="W15" s="53">
        <f>ROUNDUP((U15*0.5*0.5)/(((U15-1)*(0.05^2))/(1.282^2)+(0.5*0.5)),0)</f>
        <v>1</v>
      </c>
      <c r="X15" s="53">
        <f>ROUNDUP((V15*0.5*0.5)/(((V15-1)*(0.05^2))/(1.282^2)+(0.5*0.5)),0)</f>
        <v>0</v>
      </c>
      <c r="Y15" s="12"/>
      <c r="Z15" s="33"/>
    </row>
    <row r="16" spans="1:26" ht="15" customHeight="1" x14ac:dyDescent="0.25">
      <c r="A16" s="28"/>
      <c r="B16" s="28" t="s">
        <v>11</v>
      </c>
      <c r="C16" s="28"/>
      <c r="D16" s="28"/>
      <c r="E16" s="28"/>
      <c r="F16" s="28"/>
      <c r="G16" s="28"/>
      <c r="H16" s="32"/>
      <c r="I16" s="31"/>
      <c r="J16" s="28"/>
      <c r="K16" s="28"/>
      <c r="L16" s="28"/>
      <c r="M16" s="28"/>
      <c r="N16" s="32"/>
      <c r="O16" s="31"/>
      <c r="P16" s="28"/>
      <c r="Q16" s="28"/>
      <c r="R16" s="28"/>
      <c r="S16" s="28"/>
      <c r="T16" s="32"/>
      <c r="U16" s="31"/>
      <c r="V16" s="28"/>
      <c r="W16" s="28"/>
      <c r="X16" s="28"/>
      <c r="Y16" s="12"/>
      <c r="Z16" s="33"/>
    </row>
    <row r="17" spans="1:26" ht="14.45" customHeight="1" x14ac:dyDescent="0.25">
      <c r="A17" s="68" t="s">
        <v>17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x14ac:dyDescent="0.25">
      <c r="A19" t="s">
        <v>34</v>
      </c>
    </row>
  </sheetData>
  <mergeCells count="14">
    <mergeCell ref="A17:Z17"/>
    <mergeCell ref="Y2:Z2"/>
    <mergeCell ref="I2:J2"/>
    <mergeCell ref="U2:V2"/>
    <mergeCell ref="A2:B3"/>
    <mergeCell ref="M2:N2"/>
    <mergeCell ref="S2:T2"/>
    <mergeCell ref="C2:D2"/>
    <mergeCell ref="E2:F2"/>
    <mergeCell ref="G2:H2"/>
    <mergeCell ref="K2:L2"/>
    <mergeCell ref="Q2:R2"/>
    <mergeCell ref="O2:P2"/>
    <mergeCell ref="W2:X2"/>
  </mergeCells>
  <pageMargins left="0.25" right="0.25" top="0.75" bottom="0.75" header="0.3" footer="0.3"/>
  <pageSetup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B9B1D-BAE2-483A-84B1-F7B12749DBFD}">
  <dimension ref="A1:X94"/>
  <sheetViews>
    <sheetView showGridLines="0" workbookViewId="0">
      <selection activeCell="F95" sqref="F95"/>
    </sheetView>
  </sheetViews>
  <sheetFormatPr baseColWidth="10" defaultRowHeight="15" x14ac:dyDescent="0.25"/>
  <cols>
    <col min="1" max="1" width="5.5703125" bestFit="1" customWidth="1"/>
    <col min="2" max="2" width="6" bestFit="1" customWidth="1"/>
    <col min="3" max="4" width="3.85546875" customWidth="1"/>
    <col min="5" max="5" width="4.42578125" bestFit="1" customWidth="1"/>
    <col min="6" max="6" width="9.7109375" customWidth="1"/>
    <col min="7" max="7" width="3.140625" customWidth="1"/>
    <col min="8" max="8" width="3.42578125" customWidth="1"/>
    <col min="9" max="9" width="6.85546875" customWidth="1"/>
    <col min="10" max="10" width="6.5703125" customWidth="1"/>
    <col min="11" max="11" width="6" customWidth="1"/>
    <col min="12" max="12" width="4.5703125" customWidth="1"/>
    <col min="13" max="13" width="3.140625" customWidth="1"/>
    <col min="14" max="14" width="5.5703125" bestFit="1" customWidth="1"/>
    <col min="15" max="15" width="6" bestFit="1" customWidth="1"/>
    <col min="16" max="17" width="3.85546875" customWidth="1"/>
    <col min="18" max="18" width="4.42578125" bestFit="1" customWidth="1"/>
    <col min="19" max="19" width="9.7109375" customWidth="1"/>
    <col min="20" max="20" width="3.140625" customWidth="1"/>
    <col min="21" max="21" width="3.42578125" customWidth="1"/>
    <col min="22" max="22" width="6.85546875" customWidth="1"/>
    <col min="23" max="23" width="6.5703125" customWidth="1"/>
    <col min="24" max="24" width="6" customWidth="1"/>
  </cols>
  <sheetData>
    <row r="1" spans="1:24" x14ac:dyDescent="0.25">
      <c r="A1" s="79" t="s">
        <v>51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</row>
    <row r="2" spans="1:24" x14ac:dyDescent="0.25">
      <c r="A2" s="38" t="s">
        <v>37</v>
      </c>
      <c r="B2" s="38"/>
      <c r="C2" s="38" t="s">
        <v>2</v>
      </c>
      <c r="D2" s="38"/>
      <c r="E2" s="38"/>
      <c r="F2" s="38"/>
      <c r="G2" s="38"/>
      <c r="H2" s="38"/>
      <c r="I2" s="38"/>
      <c r="J2" s="38"/>
      <c r="K2" s="38"/>
      <c r="L2" s="38"/>
      <c r="N2" s="38" t="s">
        <v>37</v>
      </c>
      <c r="O2" s="38"/>
      <c r="P2" s="88" t="s">
        <v>5</v>
      </c>
      <c r="Q2" s="88"/>
      <c r="R2" s="88"/>
    </row>
    <row r="3" spans="1:24" x14ac:dyDescent="0.25">
      <c r="A3" s="80" t="s">
        <v>42</v>
      </c>
      <c r="B3" s="82" t="s">
        <v>41</v>
      </c>
      <c r="C3" s="78" t="s">
        <v>40</v>
      </c>
      <c r="D3" s="78"/>
      <c r="E3" s="78"/>
      <c r="F3" s="83" t="s">
        <v>50</v>
      </c>
      <c r="G3" s="89" t="s">
        <v>43</v>
      </c>
      <c r="H3" s="90"/>
      <c r="I3" s="91"/>
      <c r="J3" s="39"/>
      <c r="K3" s="37"/>
      <c r="L3" s="36"/>
      <c r="N3" s="80" t="s">
        <v>42</v>
      </c>
      <c r="O3" s="82" t="s">
        <v>41</v>
      </c>
      <c r="P3" s="78" t="s">
        <v>40</v>
      </c>
      <c r="Q3" s="78"/>
      <c r="R3" s="78"/>
      <c r="S3" s="83" t="s">
        <v>44</v>
      </c>
      <c r="T3" s="85" t="s">
        <v>43</v>
      </c>
      <c r="U3" s="86"/>
      <c r="V3" s="87"/>
      <c r="W3" s="39"/>
      <c r="X3" s="37"/>
    </row>
    <row r="4" spans="1:24" x14ac:dyDescent="0.25">
      <c r="A4" s="81"/>
      <c r="B4" s="82"/>
      <c r="C4" s="37" t="s">
        <v>38</v>
      </c>
      <c r="D4" s="37" t="s">
        <v>49</v>
      </c>
      <c r="E4" s="37" t="s">
        <v>48</v>
      </c>
      <c r="F4" s="84"/>
      <c r="G4" s="41" t="s">
        <v>38</v>
      </c>
      <c r="H4" s="40" t="s">
        <v>49</v>
      </c>
      <c r="I4" s="35" t="s">
        <v>39</v>
      </c>
      <c r="K4" s="37"/>
      <c r="L4" s="36"/>
      <c r="N4" s="81"/>
      <c r="O4" s="82"/>
      <c r="P4" s="37" t="s">
        <v>38</v>
      </c>
      <c r="Q4" s="37" t="s">
        <v>49</v>
      </c>
      <c r="R4" s="37" t="s">
        <v>39</v>
      </c>
      <c r="S4" s="84"/>
      <c r="T4" s="41" t="s">
        <v>38</v>
      </c>
      <c r="U4" s="40" t="s">
        <v>49</v>
      </c>
      <c r="V4" s="35"/>
      <c r="X4" s="37"/>
    </row>
    <row r="5" spans="1:24" x14ac:dyDescent="0.25">
      <c r="A5" s="78">
        <v>2022</v>
      </c>
      <c r="B5" s="37" t="s">
        <v>23</v>
      </c>
      <c r="C5" s="37">
        <v>25</v>
      </c>
      <c r="D5" s="37">
        <v>30</v>
      </c>
      <c r="E5" s="37">
        <f>SUM(C5:D5)</f>
        <v>55</v>
      </c>
      <c r="F5" s="37">
        <f>ROUNDUP((E5*0.5*0.5)/(((E5-1)*(0.05^2))/(1.282^2)+(0.5*0.5)),0)</f>
        <v>42</v>
      </c>
      <c r="G5" s="37"/>
      <c r="H5" s="37"/>
      <c r="I5" s="37"/>
      <c r="J5" s="37"/>
      <c r="K5" s="37"/>
      <c r="L5" s="36"/>
      <c r="N5" s="78">
        <v>2022</v>
      </c>
      <c r="O5" s="37" t="s">
        <v>23</v>
      </c>
      <c r="P5" s="37">
        <v>12</v>
      </c>
      <c r="Q5" s="37">
        <v>0</v>
      </c>
      <c r="R5" s="37">
        <f>P5+Q5</f>
        <v>12</v>
      </c>
      <c r="S5" s="37">
        <f>ROUNDUP((R5*0.5*0.5)/(((R5-1)*(0.05^2))/(1.282^2)+(0.5*0.5)),0)</f>
        <v>12</v>
      </c>
      <c r="T5" s="37"/>
      <c r="U5" s="37"/>
      <c r="V5" s="37"/>
      <c r="W5" s="37"/>
      <c r="X5" s="37"/>
    </row>
    <row r="6" spans="1:24" x14ac:dyDescent="0.25">
      <c r="A6" s="78"/>
      <c r="B6" s="37" t="s">
        <v>24</v>
      </c>
      <c r="C6" s="37">
        <v>27</v>
      </c>
      <c r="D6" s="37">
        <v>30</v>
      </c>
      <c r="E6" s="37">
        <f>SUM(C6:D6)</f>
        <v>57</v>
      </c>
      <c r="F6" s="37">
        <f t="shared" ref="F6:F12" si="0">ROUNDUP((E6*0.5*0.5)/(((E6-1)*(0.05^2))/(1.282^2)+(0.5*0.5)),0)</f>
        <v>43</v>
      </c>
      <c r="G6" s="37"/>
      <c r="H6" s="37"/>
      <c r="I6" s="37"/>
      <c r="J6" s="37"/>
      <c r="K6" s="37"/>
      <c r="L6" s="36"/>
      <c r="N6" s="78"/>
      <c r="O6" s="37" t="s">
        <v>24</v>
      </c>
      <c r="P6" s="37">
        <v>13</v>
      </c>
      <c r="Q6" s="37">
        <v>2</v>
      </c>
      <c r="R6" s="37">
        <f t="shared" ref="R6:R12" si="1">P6+Q6</f>
        <v>15</v>
      </c>
      <c r="S6" s="37">
        <f t="shared" ref="S6:S12" si="2">ROUNDUP((R6*0.5*0.5)/(((R6-1)*(0.05^2))/(1.282^2)+(0.5*0.5)),0)</f>
        <v>14</v>
      </c>
      <c r="T6" s="37"/>
      <c r="U6" s="37"/>
      <c r="V6" s="37"/>
      <c r="W6" s="37"/>
      <c r="X6" s="37"/>
    </row>
    <row r="7" spans="1:24" x14ac:dyDescent="0.25">
      <c r="A7" s="78">
        <v>2023</v>
      </c>
      <c r="B7" s="37" t="s">
        <v>23</v>
      </c>
      <c r="C7" s="37">
        <v>33</v>
      </c>
      <c r="D7" s="37">
        <v>38</v>
      </c>
      <c r="E7" s="37">
        <f>C7+D7</f>
        <v>71</v>
      </c>
      <c r="F7" s="37">
        <f t="shared" si="0"/>
        <v>50</v>
      </c>
      <c r="G7" s="37"/>
      <c r="H7" s="37"/>
      <c r="I7" s="37"/>
      <c r="J7" s="37"/>
      <c r="K7" s="37"/>
      <c r="L7" s="36"/>
      <c r="N7" s="78">
        <v>2023</v>
      </c>
      <c r="O7" s="37" t="s">
        <v>23</v>
      </c>
      <c r="P7" s="37">
        <v>21</v>
      </c>
      <c r="Q7" s="37">
        <v>2</v>
      </c>
      <c r="R7" s="37">
        <f t="shared" si="1"/>
        <v>23</v>
      </c>
      <c r="S7" s="37">
        <f t="shared" si="2"/>
        <v>21</v>
      </c>
      <c r="T7" s="37"/>
      <c r="U7" s="37"/>
      <c r="V7" s="37"/>
      <c r="W7" s="37"/>
      <c r="X7" s="37"/>
    </row>
    <row r="8" spans="1:24" x14ac:dyDescent="0.25">
      <c r="A8" s="78"/>
      <c r="B8" s="37" t="s">
        <v>24</v>
      </c>
      <c r="C8" s="37">
        <v>37</v>
      </c>
      <c r="D8" s="37">
        <v>40</v>
      </c>
      <c r="E8" s="37">
        <f t="shared" ref="E8:E12" si="3">C8+D8</f>
        <v>77</v>
      </c>
      <c r="F8" s="37">
        <f t="shared" si="0"/>
        <v>53</v>
      </c>
      <c r="G8" s="37"/>
      <c r="H8" s="37"/>
      <c r="I8" s="37"/>
      <c r="J8" s="37"/>
      <c r="K8" s="37"/>
      <c r="L8" s="36"/>
      <c r="N8" s="78"/>
      <c r="O8" s="37" t="s">
        <v>24</v>
      </c>
      <c r="P8" s="37">
        <v>11</v>
      </c>
      <c r="Q8" s="37">
        <v>1</v>
      </c>
      <c r="R8" s="37">
        <f t="shared" si="1"/>
        <v>12</v>
      </c>
      <c r="S8" s="37">
        <f t="shared" si="2"/>
        <v>12</v>
      </c>
      <c r="T8" s="37"/>
      <c r="U8" s="37"/>
      <c r="V8" s="37"/>
      <c r="W8" s="37"/>
      <c r="X8" s="37"/>
    </row>
    <row r="9" spans="1:24" x14ac:dyDescent="0.25">
      <c r="A9" s="78">
        <v>2024</v>
      </c>
      <c r="B9" s="37" t="s">
        <v>23</v>
      </c>
      <c r="C9" s="37">
        <v>28</v>
      </c>
      <c r="D9" s="37">
        <v>29</v>
      </c>
      <c r="E9" s="37">
        <f t="shared" si="3"/>
        <v>57</v>
      </c>
      <c r="F9" s="37">
        <f t="shared" si="0"/>
        <v>43</v>
      </c>
      <c r="G9" s="37"/>
      <c r="H9" s="37"/>
      <c r="I9" s="37"/>
      <c r="J9" s="37"/>
      <c r="K9" s="37"/>
      <c r="L9" s="36"/>
      <c r="N9" s="78">
        <v>2024</v>
      </c>
      <c r="O9" s="37" t="s">
        <v>23</v>
      </c>
      <c r="P9" s="37">
        <v>8</v>
      </c>
      <c r="Q9" s="37">
        <v>1</v>
      </c>
      <c r="R9" s="37">
        <f t="shared" si="1"/>
        <v>9</v>
      </c>
      <c r="S9" s="37">
        <f t="shared" si="2"/>
        <v>9</v>
      </c>
      <c r="T9" s="37"/>
      <c r="U9" s="37"/>
      <c r="V9" s="37"/>
      <c r="W9" s="37"/>
      <c r="X9" s="37"/>
    </row>
    <row r="10" spans="1:24" x14ac:dyDescent="0.25">
      <c r="A10" s="78"/>
      <c r="B10" s="37" t="s">
        <v>24</v>
      </c>
      <c r="C10" s="37">
        <v>48</v>
      </c>
      <c r="D10" s="37">
        <v>46</v>
      </c>
      <c r="E10" s="37">
        <f t="shared" si="3"/>
        <v>94</v>
      </c>
      <c r="F10" s="37">
        <f t="shared" si="0"/>
        <v>61</v>
      </c>
      <c r="G10" s="37"/>
      <c r="H10" s="37"/>
      <c r="I10" s="37"/>
      <c r="J10" s="37"/>
      <c r="K10" s="37"/>
      <c r="L10" s="36"/>
      <c r="N10" s="78"/>
      <c r="O10" s="37" t="s">
        <v>24</v>
      </c>
      <c r="P10" s="37">
        <v>10</v>
      </c>
      <c r="Q10" s="37">
        <v>7</v>
      </c>
      <c r="R10" s="37">
        <f t="shared" si="1"/>
        <v>17</v>
      </c>
      <c r="S10" s="37">
        <f t="shared" si="2"/>
        <v>16</v>
      </c>
      <c r="T10" s="37"/>
      <c r="U10" s="37"/>
      <c r="V10" s="37"/>
      <c r="W10" s="37"/>
      <c r="X10" s="37"/>
    </row>
    <row r="11" spans="1:24" x14ac:dyDescent="0.25">
      <c r="A11" s="78">
        <v>2025</v>
      </c>
      <c r="B11" s="37" t="s">
        <v>23</v>
      </c>
      <c r="C11" s="37">
        <v>25</v>
      </c>
      <c r="D11" s="37">
        <v>36</v>
      </c>
      <c r="E11" s="37">
        <f t="shared" si="3"/>
        <v>61</v>
      </c>
      <c r="F11" s="37">
        <f t="shared" si="0"/>
        <v>45</v>
      </c>
      <c r="G11" s="37"/>
      <c r="H11" s="37"/>
      <c r="I11" s="37"/>
      <c r="J11" s="37"/>
      <c r="K11" s="37"/>
      <c r="L11" s="36"/>
      <c r="N11" s="78">
        <v>2025</v>
      </c>
      <c r="O11" s="37" t="s">
        <v>23</v>
      </c>
      <c r="P11" s="37">
        <v>15</v>
      </c>
      <c r="Q11" s="37">
        <v>2</v>
      </c>
      <c r="R11" s="37">
        <f t="shared" si="1"/>
        <v>17</v>
      </c>
      <c r="S11" s="37">
        <f t="shared" si="2"/>
        <v>16</v>
      </c>
      <c r="T11" s="37"/>
      <c r="U11" s="37"/>
      <c r="V11" s="37"/>
      <c r="W11" s="37"/>
      <c r="X11" s="37"/>
    </row>
    <row r="12" spans="1:24" x14ac:dyDescent="0.25">
      <c r="A12" s="78"/>
      <c r="B12" s="37" t="s">
        <v>24</v>
      </c>
      <c r="C12" s="37"/>
      <c r="D12" s="37"/>
      <c r="E12" s="37">
        <f t="shared" si="3"/>
        <v>0</v>
      </c>
      <c r="F12" s="37">
        <f t="shared" si="0"/>
        <v>0</v>
      </c>
      <c r="G12" s="37"/>
      <c r="H12" s="37"/>
      <c r="I12" s="37"/>
      <c r="J12" s="37"/>
      <c r="K12" s="37"/>
      <c r="L12" s="36"/>
      <c r="N12" s="78"/>
      <c r="O12" s="37" t="s">
        <v>24</v>
      </c>
      <c r="P12" s="37"/>
      <c r="Q12" s="37"/>
      <c r="R12" s="37">
        <f t="shared" si="1"/>
        <v>0</v>
      </c>
      <c r="S12" s="37">
        <f t="shared" si="2"/>
        <v>0</v>
      </c>
      <c r="T12" s="37"/>
      <c r="U12" s="37"/>
      <c r="V12" s="37"/>
      <c r="W12" s="37"/>
      <c r="X12" s="37"/>
    </row>
    <row r="13" spans="1:24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6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 spans="1:24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</row>
    <row r="15" spans="1:24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</row>
    <row r="17" spans="1:24" x14ac:dyDescent="0.25">
      <c r="A17" s="38" t="s">
        <v>37</v>
      </c>
      <c r="B17" s="38"/>
      <c r="C17" s="88" t="s">
        <v>3</v>
      </c>
      <c r="D17" s="88"/>
      <c r="E17" s="88"/>
      <c r="F17" s="38"/>
      <c r="G17" s="38"/>
      <c r="H17" s="38"/>
      <c r="I17" s="38"/>
      <c r="J17" s="38"/>
      <c r="K17" s="38"/>
      <c r="N17" s="38" t="s">
        <v>37</v>
      </c>
      <c r="O17" s="38"/>
      <c r="P17" s="42" t="s">
        <v>46</v>
      </c>
      <c r="Q17" s="42"/>
      <c r="R17" s="42"/>
      <c r="S17" s="38"/>
      <c r="T17" s="38"/>
      <c r="U17" s="38"/>
      <c r="V17" s="38"/>
      <c r="W17" s="38"/>
      <c r="X17" s="38"/>
    </row>
    <row r="18" spans="1:24" x14ac:dyDescent="0.25">
      <c r="A18" s="80" t="s">
        <v>42</v>
      </c>
      <c r="B18" s="82" t="s">
        <v>41</v>
      </c>
      <c r="C18" s="78" t="s">
        <v>40</v>
      </c>
      <c r="D18" s="78"/>
      <c r="E18" s="78"/>
      <c r="F18" s="83" t="s">
        <v>44</v>
      </c>
      <c r="G18" s="85" t="s">
        <v>43</v>
      </c>
      <c r="H18" s="86"/>
      <c r="I18" s="87"/>
      <c r="J18" s="39"/>
      <c r="K18" s="37"/>
      <c r="N18" s="80" t="s">
        <v>42</v>
      </c>
      <c r="O18" s="82" t="s">
        <v>41</v>
      </c>
      <c r="P18" s="78" t="s">
        <v>40</v>
      </c>
      <c r="Q18" s="78"/>
      <c r="R18" s="78"/>
      <c r="S18" s="83" t="s">
        <v>44</v>
      </c>
      <c r="T18" s="85" t="s">
        <v>43</v>
      </c>
      <c r="U18" s="86"/>
      <c r="V18" s="87"/>
      <c r="W18" s="39"/>
      <c r="X18" s="37"/>
    </row>
    <row r="19" spans="1:24" x14ac:dyDescent="0.25">
      <c r="A19" s="81"/>
      <c r="B19" s="82"/>
      <c r="C19" s="37" t="s">
        <v>38</v>
      </c>
      <c r="D19" s="37" t="s">
        <v>49</v>
      </c>
      <c r="E19" s="37" t="s">
        <v>39</v>
      </c>
      <c r="F19" s="84"/>
      <c r="G19" s="41" t="s">
        <v>38</v>
      </c>
      <c r="H19" s="40" t="s">
        <v>49</v>
      </c>
      <c r="I19" s="35"/>
      <c r="K19" s="37"/>
      <c r="N19" s="81"/>
      <c r="O19" s="82"/>
      <c r="P19" s="37" t="s">
        <v>38</v>
      </c>
      <c r="Q19" s="37" t="s">
        <v>49</v>
      </c>
      <c r="R19" s="37" t="s">
        <v>39</v>
      </c>
      <c r="S19" s="84"/>
      <c r="T19" s="41" t="s">
        <v>38</v>
      </c>
      <c r="U19" s="40" t="s">
        <v>49</v>
      </c>
      <c r="V19" s="35"/>
      <c r="X19" s="37"/>
    </row>
    <row r="20" spans="1:24" x14ac:dyDescent="0.25">
      <c r="A20" s="78">
        <v>2022</v>
      </c>
      <c r="B20" s="37" t="s">
        <v>23</v>
      </c>
      <c r="C20" s="37">
        <v>8</v>
      </c>
      <c r="D20" s="37">
        <v>4</v>
      </c>
      <c r="E20" s="37">
        <f>C20+D20</f>
        <v>12</v>
      </c>
      <c r="F20" s="37">
        <f>ROUNDUP((E20*0.5*0.5)/(((E20-1)*(0.05^2))/(1.282^2)+(0.5*0.5)),0)</f>
        <v>12</v>
      </c>
      <c r="G20" s="37"/>
      <c r="H20" s="37"/>
      <c r="I20" s="37"/>
      <c r="J20" s="37"/>
      <c r="K20" s="37"/>
      <c r="N20" s="78">
        <v>2022</v>
      </c>
      <c r="O20" s="37" t="s">
        <v>23</v>
      </c>
      <c r="P20" s="37">
        <v>11</v>
      </c>
      <c r="Q20" s="37">
        <v>25</v>
      </c>
      <c r="R20" s="37">
        <f>P20+Q20</f>
        <v>36</v>
      </c>
      <c r="S20" s="37">
        <f>ROUNDUP((R20*0.5*0.5)/(((R20-1)*(0.05^2))/(1.282^2)+(0.5*0.5)),0)</f>
        <v>30</v>
      </c>
      <c r="T20" s="37"/>
      <c r="U20" s="37"/>
      <c r="V20" s="37"/>
      <c r="W20" s="37"/>
      <c r="X20" s="37"/>
    </row>
    <row r="21" spans="1:24" x14ac:dyDescent="0.25">
      <c r="A21" s="78"/>
      <c r="B21" s="37" t="s">
        <v>24</v>
      </c>
      <c r="C21" s="37">
        <v>9</v>
      </c>
      <c r="D21" s="37">
        <v>2</v>
      </c>
      <c r="E21" s="37">
        <f t="shared" ref="E21:E27" si="4">C21+D21</f>
        <v>11</v>
      </c>
      <c r="F21" s="37">
        <f t="shared" ref="F21:F27" si="5">ROUNDUP((E21*0.5*0.5)/(((E21-1)*(0.05^2))/(1.282^2)+(0.5*0.5)),0)</f>
        <v>11</v>
      </c>
      <c r="G21" s="37"/>
      <c r="H21" s="37"/>
      <c r="I21" s="37"/>
      <c r="J21" s="37"/>
      <c r="K21" s="37"/>
      <c r="N21" s="78"/>
      <c r="O21" s="37" t="s">
        <v>24</v>
      </c>
      <c r="P21" s="37">
        <v>16</v>
      </c>
      <c r="Q21" s="37">
        <v>39</v>
      </c>
      <c r="R21" s="37">
        <f t="shared" ref="R21:R27" si="6">P21+Q21</f>
        <v>55</v>
      </c>
      <c r="S21" s="37">
        <f t="shared" ref="S21:S27" si="7">ROUNDUP((R21*0.5*0.5)/(((R21-1)*(0.05^2))/(1.282^2)+(0.5*0.5)),0)</f>
        <v>42</v>
      </c>
      <c r="T21" s="37"/>
      <c r="U21" s="37"/>
      <c r="V21" s="37"/>
      <c r="W21" s="37"/>
      <c r="X21" s="37"/>
    </row>
    <row r="22" spans="1:24" x14ac:dyDescent="0.25">
      <c r="A22" s="78">
        <v>2023</v>
      </c>
      <c r="B22" s="37" t="s">
        <v>23</v>
      </c>
      <c r="C22" s="37">
        <v>13</v>
      </c>
      <c r="D22" s="37">
        <v>0</v>
      </c>
      <c r="E22" s="37">
        <f t="shared" si="4"/>
        <v>13</v>
      </c>
      <c r="F22" s="37">
        <f t="shared" si="5"/>
        <v>13</v>
      </c>
      <c r="G22" s="37"/>
      <c r="H22" s="37"/>
      <c r="I22" s="37"/>
      <c r="J22" s="37"/>
      <c r="K22" s="37"/>
      <c r="N22" s="78">
        <v>2023</v>
      </c>
      <c r="O22" s="37" t="s">
        <v>23</v>
      </c>
      <c r="P22" s="37">
        <v>13</v>
      </c>
      <c r="Q22" s="37">
        <v>50</v>
      </c>
      <c r="R22" s="37">
        <f t="shared" si="6"/>
        <v>63</v>
      </c>
      <c r="S22" s="37">
        <f t="shared" si="7"/>
        <v>46</v>
      </c>
      <c r="T22" s="37"/>
      <c r="U22" s="37"/>
      <c r="V22" s="37"/>
      <c r="W22" s="37"/>
      <c r="X22" s="37"/>
    </row>
    <row r="23" spans="1:24" x14ac:dyDescent="0.25">
      <c r="A23" s="78"/>
      <c r="B23" s="37" t="s">
        <v>24</v>
      </c>
      <c r="C23" s="37">
        <v>10</v>
      </c>
      <c r="D23" s="37">
        <v>3</v>
      </c>
      <c r="E23" s="37">
        <f t="shared" si="4"/>
        <v>13</v>
      </c>
      <c r="F23" s="37">
        <f t="shared" si="5"/>
        <v>13</v>
      </c>
      <c r="G23" s="37"/>
      <c r="H23" s="37"/>
      <c r="I23" s="37"/>
      <c r="J23" s="37"/>
      <c r="K23" s="37"/>
      <c r="N23" s="78"/>
      <c r="O23" s="37" t="s">
        <v>24</v>
      </c>
      <c r="P23" s="37">
        <v>27</v>
      </c>
      <c r="Q23" s="37">
        <v>48</v>
      </c>
      <c r="R23" s="37">
        <f t="shared" si="6"/>
        <v>75</v>
      </c>
      <c r="S23" s="37">
        <f t="shared" si="7"/>
        <v>52</v>
      </c>
      <c r="T23" s="37"/>
      <c r="U23" s="37"/>
      <c r="V23" s="37"/>
      <c r="W23" s="37"/>
      <c r="X23" s="37"/>
    </row>
    <row r="24" spans="1:24" x14ac:dyDescent="0.25">
      <c r="A24" s="78">
        <v>2024</v>
      </c>
      <c r="B24" s="37" t="s">
        <v>23</v>
      </c>
      <c r="C24" s="37">
        <v>6</v>
      </c>
      <c r="D24" s="37">
        <v>3</v>
      </c>
      <c r="E24" s="37">
        <f t="shared" si="4"/>
        <v>9</v>
      </c>
      <c r="F24" s="37">
        <f t="shared" si="5"/>
        <v>9</v>
      </c>
      <c r="G24" s="37"/>
      <c r="H24" s="37"/>
      <c r="I24" s="37"/>
      <c r="J24" s="37"/>
      <c r="K24" s="37"/>
      <c r="N24" s="78">
        <v>2024</v>
      </c>
      <c r="O24" s="37" t="s">
        <v>23</v>
      </c>
      <c r="P24" s="37">
        <v>10</v>
      </c>
      <c r="Q24" s="37">
        <v>43</v>
      </c>
      <c r="R24" s="37">
        <f t="shared" si="6"/>
        <v>53</v>
      </c>
      <c r="S24" s="37">
        <f t="shared" si="7"/>
        <v>41</v>
      </c>
      <c r="T24" s="37"/>
      <c r="U24" s="37"/>
      <c r="V24" s="37"/>
      <c r="W24" s="37"/>
      <c r="X24" s="37"/>
    </row>
    <row r="25" spans="1:24" x14ac:dyDescent="0.25">
      <c r="A25" s="78"/>
      <c r="B25" s="37" t="s">
        <v>24</v>
      </c>
      <c r="C25" s="37">
        <v>14</v>
      </c>
      <c r="D25" s="37">
        <v>2</v>
      </c>
      <c r="E25" s="37">
        <f t="shared" si="4"/>
        <v>16</v>
      </c>
      <c r="F25" s="37">
        <f t="shared" si="5"/>
        <v>15</v>
      </c>
      <c r="G25" s="37"/>
      <c r="H25" s="37"/>
      <c r="I25" s="37"/>
      <c r="J25" s="37"/>
      <c r="K25" s="37"/>
      <c r="N25" s="78"/>
      <c r="O25" s="37" t="s">
        <v>24</v>
      </c>
      <c r="P25" s="37">
        <v>12</v>
      </c>
      <c r="Q25" s="37">
        <v>33</v>
      </c>
      <c r="R25" s="37">
        <f t="shared" si="6"/>
        <v>45</v>
      </c>
      <c r="S25" s="37">
        <f t="shared" si="7"/>
        <v>36</v>
      </c>
      <c r="T25" s="37"/>
      <c r="U25" s="37"/>
      <c r="V25" s="37"/>
      <c r="W25" s="37"/>
      <c r="X25" s="37"/>
    </row>
    <row r="26" spans="1:24" x14ac:dyDescent="0.25">
      <c r="A26" s="78">
        <v>2025</v>
      </c>
      <c r="B26" s="37" t="s">
        <v>23</v>
      </c>
      <c r="C26" s="37">
        <v>16</v>
      </c>
      <c r="D26" s="37">
        <v>0</v>
      </c>
      <c r="E26" s="37">
        <f t="shared" si="4"/>
        <v>16</v>
      </c>
      <c r="F26" s="37">
        <f t="shared" si="5"/>
        <v>15</v>
      </c>
      <c r="G26" s="37"/>
      <c r="H26" s="37"/>
      <c r="I26" s="37"/>
      <c r="J26" s="37"/>
      <c r="K26" s="37"/>
      <c r="N26" s="78">
        <v>2025</v>
      </c>
      <c r="O26" s="37" t="s">
        <v>23</v>
      </c>
      <c r="P26" s="37">
        <v>17</v>
      </c>
      <c r="Q26" s="37">
        <v>26</v>
      </c>
      <c r="R26" s="37">
        <f t="shared" si="6"/>
        <v>43</v>
      </c>
      <c r="S26" s="37">
        <f t="shared" si="7"/>
        <v>35</v>
      </c>
      <c r="T26" s="37"/>
      <c r="U26" s="37"/>
      <c r="V26" s="37"/>
      <c r="W26" s="37"/>
      <c r="X26" s="37"/>
    </row>
    <row r="27" spans="1:24" x14ac:dyDescent="0.25">
      <c r="A27" s="78"/>
      <c r="B27" s="37" t="s">
        <v>24</v>
      </c>
      <c r="C27" s="37"/>
      <c r="D27" s="37"/>
      <c r="E27" s="37">
        <f t="shared" si="4"/>
        <v>0</v>
      </c>
      <c r="F27" s="37">
        <f t="shared" si="5"/>
        <v>0</v>
      </c>
      <c r="G27" s="37"/>
      <c r="H27" s="37"/>
      <c r="I27" s="37"/>
      <c r="J27" s="37"/>
      <c r="K27" s="37"/>
      <c r="N27" s="78"/>
      <c r="O27" s="37" t="s">
        <v>24</v>
      </c>
      <c r="P27" s="37"/>
      <c r="Q27" s="37"/>
      <c r="R27" s="37">
        <f t="shared" si="6"/>
        <v>0</v>
      </c>
      <c r="S27" s="37">
        <f t="shared" si="7"/>
        <v>0</v>
      </c>
      <c r="T27" s="37"/>
      <c r="U27" s="37"/>
      <c r="V27" s="37"/>
      <c r="W27" s="37"/>
      <c r="X27" s="37"/>
    </row>
    <row r="28" spans="1:24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35" spans="1:24" x14ac:dyDescent="0.25">
      <c r="A35" s="38" t="s">
        <v>37</v>
      </c>
      <c r="B35" s="38"/>
      <c r="C35" s="88" t="s">
        <v>0</v>
      </c>
      <c r="D35" s="88"/>
      <c r="E35" s="88"/>
      <c r="F35" s="38"/>
      <c r="G35" s="38"/>
      <c r="H35" s="38"/>
      <c r="I35" s="38"/>
      <c r="J35" s="38"/>
      <c r="K35" s="38"/>
      <c r="N35" s="38" t="s">
        <v>37</v>
      </c>
      <c r="O35" s="38"/>
      <c r="P35" s="88" t="s">
        <v>7</v>
      </c>
      <c r="Q35" s="88"/>
      <c r="R35" s="88"/>
      <c r="S35" s="38"/>
      <c r="T35" s="38"/>
      <c r="U35" s="38"/>
      <c r="V35" s="38"/>
      <c r="W35" s="38"/>
      <c r="X35" s="38"/>
    </row>
    <row r="36" spans="1:24" x14ac:dyDescent="0.25">
      <c r="A36" s="80" t="s">
        <v>42</v>
      </c>
      <c r="B36" s="82" t="s">
        <v>41</v>
      </c>
      <c r="C36" s="78" t="s">
        <v>40</v>
      </c>
      <c r="D36" s="78"/>
      <c r="E36" s="78"/>
      <c r="F36" s="83" t="s">
        <v>44</v>
      </c>
      <c r="G36" s="85" t="s">
        <v>43</v>
      </c>
      <c r="H36" s="86"/>
      <c r="I36" s="87"/>
      <c r="J36" s="39"/>
      <c r="K36" s="37"/>
      <c r="N36" s="80" t="s">
        <v>42</v>
      </c>
      <c r="O36" s="82" t="s">
        <v>41</v>
      </c>
      <c r="P36" s="78" t="s">
        <v>40</v>
      </c>
      <c r="Q36" s="78"/>
      <c r="R36" s="78"/>
      <c r="S36" s="83" t="s">
        <v>44</v>
      </c>
      <c r="T36" s="85" t="s">
        <v>43</v>
      </c>
      <c r="U36" s="86"/>
      <c r="V36" s="87"/>
      <c r="W36" s="39"/>
      <c r="X36" s="37"/>
    </row>
    <row r="37" spans="1:24" x14ac:dyDescent="0.25">
      <c r="A37" s="81"/>
      <c r="B37" s="82"/>
      <c r="C37" s="37" t="s">
        <v>38</v>
      </c>
      <c r="D37" s="37" t="s">
        <v>49</v>
      </c>
      <c r="E37" s="37" t="s">
        <v>39</v>
      </c>
      <c r="F37" s="84"/>
      <c r="G37" s="41" t="s">
        <v>38</v>
      </c>
      <c r="H37" s="40" t="s">
        <v>49</v>
      </c>
      <c r="I37" s="35"/>
      <c r="K37" s="37"/>
      <c r="N37" s="81"/>
      <c r="O37" s="82"/>
      <c r="P37" s="37" t="s">
        <v>38</v>
      </c>
      <c r="Q37" s="37" t="s">
        <v>49</v>
      </c>
      <c r="R37" s="37" t="s">
        <v>39</v>
      </c>
      <c r="S37" s="84"/>
      <c r="T37" s="41" t="s">
        <v>38</v>
      </c>
      <c r="U37" s="40" t="s">
        <v>49</v>
      </c>
      <c r="V37" s="35"/>
      <c r="X37" s="37"/>
    </row>
    <row r="38" spans="1:24" x14ac:dyDescent="0.25">
      <c r="A38" s="78">
        <v>2022</v>
      </c>
      <c r="B38" s="37" t="s">
        <v>23</v>
      </c>
      <c r="C38" s="37">
        <v>96</v>
      </c>
      <c r="D38" s="37">
        <v>58</v>
      </c>
      <c r="E38" s="37">
        <f>C38+D38</f>
        <v>154</v>
      </c>
      <c r="F38" s="37">
        <f>ROUNDUP((E38*0.5*0.5)/(((E38-1)*(0.05^2))/(1.282^2)+(0.5*0.5)),0)</f>
        <v>80</v>
      </c>
      <c r="G38" s="37"/>
      <c r="H38" s="37"/>
      <c r="I38" s="37"/>
      <c r="J38" s="37"/>
      <c r="K38" s="37"/>
      <c r="N38" s="78">
        <v>2022</v>
      </c>
      <c r="O38" s="37" t="s">
        <v>23</v>
      </c>
      <c r="P38" s="37">
        <v>12</v>
      </c>
      <c r="Q38" s="37">
        <v>19</v>
      </c>
      <c r="R38" s="37">
        <f>P38+Q38</f>
        <v>31</v>
      </c>
      <c r="S38" s="37">
        <f>ROUNDUP((R38*0.5*0.5)/(((R38-1)*(0.05^2))/(1.282^2)+(0.5*0.5)),0)</f>
        <v>27</v>
      </c>
      <c r="T38" s="37"/>
      <c r="U38" s="37"/>
      <c r="V38" s="37"/>
      <c r="W38" s="37"/>
      <c r="X38" s="37"/>
    </row>
    <row r="39" spans="1:24" x14ac:dyDescent="0.25">
      <c r="A39" s="78"/>
      <c r="B39" s="37" t="s">
        <v>24</v>
      </c>
      <c r="C39" s="37">
        <v>58</v>
      </c>
      <c r="D39" s="37">
        <v>33</v>
      </c>
      <c r="E39" s="37">
        <f t="shared" ref="E39:E45" si="8">C39+D39</f>
        <v>91</v>
      </c>
      <c r="F39" s="37">
        <f t="shared" ref="F39:F45" si="9">ROUNDUP((E39*0.5*0.5)/(((E39-1)*(0.05^2))/(1.282^2)+(0.5*0.5)),0)</f>
        <v>59</v>
      </c>
      <c r="G39" s="37"/>
      <c r="H39" s="37"/>
      <c r="I39" s="37"/>
      <c r="J39" s="37"/>
      <c r="K39" s="37"/>
      <c r="N39" s="78"/>
      <c r="O39" s="37" t="s">
        <v>24</v>
      </c>
      <c r="P39" s="37">
        <v>4</v>
      </c>
      <c r="Q39" s="37">
        <v>18</v>
      </c>
      <c r="R39" s="37">
        <f t="shared" ref="R39:R45" si="10">P39+Q39</f>
        <v>22</v>
      </c>
      <c r="S39" s="37">
        <f t="shared" ref="S39:S45" si="11">ROUNDUP((R39*0.5*0.5)/(((R39-1)*(0.05^2))/(1.282^2)+(0.5*0.5)),0)</f>
        <v>20</v>
      </c>
      <c r="T39" s="37"/>
      <c r="U39" s="37"/>
      <c r="V39" s="37"/>
      <c r="W39" s="37"/>
      <c r="X39" s="37"/>
    </row>
    <row r="40" spans="1:24" x14ac:dyDescent="0.25">
      <c r="A40" s="78">
        <v>2023</v>
      </c>
      <c r="B40" s="37" t="s">
        <v>23</v>
      </c>
      <c r="C40" s="37">
        <v>101</v>
      </c>
      <c r="D40" s="37">
        <v>92</v>
      </c>
      <c r="E40" s="37">
        <f t="shared" si="8"/>
        <v>193</v>
      </c>
      <c r="F40" s="37">
        <f t="shared" si="9"/>
        <v>90</v>
      </c>
      <c r="G40" s="37"/>
      <c r="H40" s="37"/>
      <c r="I40" s="37"/>
      <c r="J40" s="37"/>
      <c r="K40" s="37"/>
      <c r="N40" s="78">
        <v>2023</v>
      </c>
      <c r="O40" s="37" t="s">
        <v>23</v>
      </c>
      <c r="P40" s="37">
        <v>8</v>
      </c>
      <c r="Q40" s="37">
        <v>35</v>
      </c>
      <c r="R40" s="37">
        <f t="shared" si="10"/>
        <v>43</v>
      </c>
      <c r="S40" s="37">
        <f t="shared" si="11"/>
        <v>35</v>
      </c>
      <c r="T40" s="37"/>
      <c r="U40" s="37"/>
      <c r="V40" s="37"/>
      <c r="W40" s="37"/>
      <c r="X40" s="37"/>
    </row>
    <row r="41" spans="1:24" x14ac:dyDescent="0.25">
      <c r="A41" s="78"/>
      <c r="B41" s="37" t="s">
        <v>24</v>
      </c>
      <c r="C41" s="37">
        <v>58</v>
      </c>
      <c r="D41" s="37">
        <v>30</v>
      </c>
      <c r="E41" s="37">
        <f t="shared" si="8"/>
        <v>88</v>
      </c>
      <c r="F41" s="37">
        <f t="shared" si="9"/>
        <v>58</v>
      </c>
      <c r="G41" s="37"/>
      <c r="H41" s="37"/>
      <c r="I41" s="37"/>
      <c r="J41" s="37"/>
      <c r="K41" s="37"/>
      <c r="N41" s="78"/>
      <c r="O41" s="37" t="s">
        <v>24</v>
      </c>
      <c r="P41" s="37">
        <v>8</v>
      </c>
      <c r="Q41" s="37">
        <v>17</v>
      </c>
      <c r="R41" s="37">
        <f t="shared" si="10"/>
        <v>25</v>
      </c>
      <c r="S41" s="37">
        <f t="shared" si="11"/>
        <v>22</v>
      </c>
      <c r="T41" s="37"/>
      <c r="U41" s="37"/>
      <c r="V41" s="37"/>
      <c r="W41" s="37"/>
      <c r="X41" s="37"/>
    </row>
    <row r="42" spans="1:24" x14ac:dyDescent="0.25">
      <c r="A42" s="78">
        <v>2024</v>
      </c>
      <c r="B42" s="37" t="s">
        <v>23</v>
      </c>
      <c r="C42" s="37">
        <v>76</v>
      </c>
      <c r="D42" s="37">
        <v>72</v>
      </c>
      <c r="E42" s="37">
        <f t="shared" si="8"/>
        <v>148</v>
      </c>
      <c r="F42" s="37">
        <f t="shared" si="9"/>
        <v>79</v>
      </c>
      <c r="G42" s="37"/>
      <c r="H42" s="37"/>
      <c r="I42" s="37"/>
      <c r="J42" s="37"/>
      <c r="K42" s="37"/>
      <c r="N42" s="78">
        <v>2024</v>
      </c>
      <c r="O42" s="37" t="s">
        <v>23</v>
      </c>
      <c r="P42" s="37">
        <v>17</v>
      </c>
      <c r="Q42" s="37">
        <v>31</v>
      </c>
      <c r="R42" s="37">
        <f t="shared" si="10"/>
        <v>48</v>
      </c>
      <c r="S42" s="37">
        <f t="shared" si="11"/>
        <v>38</v>
      </c>
      <c r="T42" s="37"/>
      <c r="U42" s="37"/>
      <c r="V42" s="37"/>
      <c r="W42" s="37"/>
      <c r="X42" s="37"/>
    </row>
    <row r="43" spans="1:24" x14ac:dyDescent="0.25">
      <c r="A43" s="78"/>
      <c r="B43" s="37" t="s">
        <v>24</v>
      </c>
      <c r="C43" s="37">
        <v>48</v>
      </c>
      <c r="D43" s="37">
        <v>29</v>
      </c>
      <c r="E43" s="37">
        <f t="shared" si="8"/>
        <v>77</v>
      </c>
      <c r="F43" s="37">
        <f t="shared" si="9"/>
        <v>53</v>
      </c>
      <c r="G43" s="37"/>
      <c r="H43" s="37"/>
      <c r="I43" s="37"/>
      <c r="J43" s="37"/>
      <c r="K43" s="37"/>
      <c r="N43" s="78"/>
      <c r="O43" s="37" t="s">
        <v>24</v>
      </c>
      <c r="P43" s="37">
        <v>18</v>
      </c>
      <c r="Q43" s="37">
        <v>23</v>
      </c>
      <c r="R43" s="37">
        <f t="shared" si="10"/>
        <v>41</v>
      </c>
      <c r="S43" s="37">
        <f t="shared" si="11"/>
        <v>33</v>
      </c>
      <c r="T43" s="37"/>
      <c r="U43" s="37"/>
      <c r="V43" s="37"/>
      <c r="W43" s="37"/>
      <c r="X43" s="37"/>
    </row>
    <row r="44" spans="1:24" x14ac:dyDescent="0.25">
      <c r="A44" s="78">
        <v>2025</v>
      </c>
      <c r="B44" s="37" t="s">
        <v>23</v>
      </c>
      <c r="C44" s="37">
        <v>67</v>
      </c>
      <c r="D44" s="37">
        <v>64</v>
      </c>
      <c r="E44" s="37">
        <f t="shared" si="8"/>
        <v>131</v>
      </c>
      <c r="F44" s="37">
        <f t="shared" si="9"/>
        <v>74</v>
      </c>
      <c r="G44" s="37"/>
      <c r="H44" s="37"/>
      <c r="I44" s="37"/>
      <c r="J44" s="37"/>
      <c r="K44" s="37"/>
      <c r="N44" s="78">
        <v>2025</v>
      </c>
      <c r="O44" s="37" t="s">
        <v>23</v>
      </c>
      <c r="P44" s="37">
        <v>9</v>
      </c>
      <c r="Q44" s="37">
        <v>36</v>
      </c>
      <c r="R44" s="37">
        <f t="shared" si="10"/>
        <v>45</v>
      </c>
      <c r="S44" s="37">
        <f t="shared" si="11"/>
        <v>36</v>
      </c>
      <c r="T44" s="37"/>
      <c r="U44" s="37"/>
      <c r="V44" s="37"/>
      <c r="W44" s="37"/>
      <c r="X44" s="37"/>
    </row>
    <row r="45" spans="1:24" x14ac:dyDescent="0.25">
      <c r="A45" s="78"/>
      <c r="B45" s="37" t="s">
        <v>24</v>
      </c>
      <c r="C45" s="37"/>
      <c r="D45" s="37"/>
      <c r="E45" s="37">
        <f t="shared" si="8"/>
        <v>0</v>
      </c>
      <c r="F45" s="37">
        <f t="shared" si="9"/>
        <v>0</v>
      </c>
      <c r="G45" s="37"/>
      <c r="H45" s="37"/>
      <c r="I45" s="37"/>
      <c r="J45" s="37"/>
      <c r="K45" s="37"/>
      <c r="N45" s="78"/>
      <c r="O45" s="37" t="s">
        <v>24</v>
      </c>
      <c r="P45" s="37"/>
      <c r="Q45" s="37"/>
      <c r="R45" s="37">
        <f t="shared" si="10"/>
        <v>0</v>
      </c>
      <c r="S45" s="37">
        <f t="shared" si="11"/>
        <v>0</v>
      </c>
      <c r="T45" s="37"/>
      <c r="U45" s="37"/>
      <c r="V45" s="37"/>
      <c r="W45" s="37"/>
      <c r="X45" s="37"/>
    </row>
    <row r="46" spans="1:24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</row>
    <row r="50" spans="1:24" x14ac:dyDescent="0.25">
      <c r="A50" s="38" t="s">
        <v>37</v>
      </c>
      <c r="B50" s="38"/>
      <c r="C50" s="88" t="s">
        <v>1</v>
      </c>
      <c r="D50" s="88"/>
      <c r="E50" s="88"/>
      <c r="F50" s="38"/>
      <c r="G50" s="38"/>
      <c r="H50" s="38"/>
      <c r="I50" s="38"/>
      <c r="J50" s="38"/>
      <c r="K50" s="38"/>
      <c r="N50" s="38" t="s">
        <v>37</v>
      </c>
      <c r="O50" s="38"/>
      <c r="P50" s="88" t="s">
        <v>19</v>
      </c>
      <c r="Q50" s="88"/>
      <c r="R50" s="88"/>
      <c r="S50" s="38"/>
      <c r="T50" s="38"/>
      <c r="U50" s="38"/>
      <c r="V50" s="38"/>
      <c r="W50" s="38"/>
      <c r="X50" s="38"/>
    </row>
    <row r="51" spans="1:24" x14ac:dyDescent="0.25">
      <c r="A51" s="80" t="s">
        <v>42</v>
      </c>
      <c r="B51" s="82" t="s">
        <v>41</v>
      </c>
      <c r="C51" s="78" t="s">
        <v>40</v>
      </c>
      <c r="D51" s="78"/>
      <c r="E51" s="78"/>
      <c r="F51" s="83" t="s">
        <v>44</v>
      </c>
      <c r="G51" s="85" t="s">
        <v>43</v>
      </c>
      <c r="H51" s="86"/>
      <c r="I51" s="87"/>
      <c r="J51" s="39"/>
      <c r="K51" s="37"/>
      <c r="N51" s="80" t="s">
        <v>42</v>
      </c>
      <c r="O51" s="82" t="s">
        <v>41</v>
      </c>
      <c r="P51" s="78" t="s">
        <v>40</v>
      </c>
      <c r="Q51" s="78"/>
      <c r="R51" s="78"/>
      <c r="S51" s="83" t="s">
        <v>44</v>
      </c>
      <c r="T51" s="85" t="s">
        <v>43</v>
      </c>
      <c r="U51" s="86"/>
      <c r="V51" s="87"/>
      <c r="W51" s="39"/>
      <c r="X51" s="37"/>
    </row>
    <row r="52" spans="1:24" x14ac:dyDescent="0.25">
      <c r="A52" s="81"/>
      <c r="B52" s="82"/>
      <c r="C52" s="37" t="s">
        <v>38</v>
      </c>
      <c r="D52" s="37" t="s">
        <v>49</v>
      </c>
      <c r="E52" s="37" t="s">
        <v>39</v>
      </c>
      <c r="F52" s="84"/>
      <c r="G52" s="41" t="s">
        <v>38</v>
      </c>
      <c r="H52" s="40" t="s">
        <v>49</v>
      </c>
      <c r="I52" s="35"/>
      <c r="K52" s="37"/>
      <c r="N52" s="81"/>
      <c r="O52" s="82"/>
      <c r="P52" s="37" t="s">
        <v>38</v>
      </c>
      <c r="Q52" s="37" t="s">
        <v>49</v>
      </c>
      <c r="R52" s="37" t="s">
        <v>39</v>
      </c>
      <c r="S52" s="84"/>
      <c r="T52" s="41" t="s">
        <v>38</v>
      </c>
      <c r="U52" s="40" t="s">
        <v>49</v>
      </c>
      <c r="V52" s="35"/>
      <c r="X52" s="37"/>
    </row>
    <row r="53" spans="1:24" x14ac:dyDescent="0.25">
      <c r="A53" s="78">
        <v>2022</v>
      </c>
      <c r="B53" s="37" t="s">
        <v>23</v>
      </c>
      <c r="C53" s="37">
        <v>0</v>
      </c>
      <c r="D53" s="37">
        <v>8</v>
      </c>
      <c r="E53" s="37">
        <f>C53+D53</f>
        <v>8</v>
      </c>
      <c r="F53" s="37">
        <f>ROUNDUP((E53*0.5*0.5)/(((E53-1)*(0.05^2))/(1.282^2)+(0.5*0.5)),0)</f>
        <v>8</v>
      </c>
      <c r="G53" s="37"/>
      <c r="H53" s="37"/>
      <c r="I53" s="37"/>
      <c r="J53" s="37"/>
      <c r="K53" s="37"/>
      <c r="N53" s="78">
        <v>2022</v>
      </c>
      <c r="O53" s="37" t="s">
        <v>23</v>
      </c>
      <c r="P53" s="37">
        <v>25</v>
      </c>
      <c r="Q53" s="37">
        <v>3</v>
      </c>
      <c r="R53" s="37">
        <f>SUM(P53:Q53)</f>
        <v>28</v>
      </c>
      <c r="S53" s="37">
        <f>ROUNDUP((R53*0.5*0.5)/(((R53-1)*(0.05^2))/(1.282^2)+(0.5*0.5)),0)</f>
        <v>25</v>
      </c>
      <c r="T53" s="37"/>
      <c r="U53" s="37"/>
      <c r="V53" s="37"/>
      <c r="W53" s="37"/>
      <c r="X53" s="37"/>
    </row>
    <row r="54" spans="1:24" x14ac:dyDescent="0.25">
      <c r="A54" s="78"/>
      <c r="B54" s="37" t="s">
        <v>24</v>
      </c>
      <c r="C54" s="37">
        <v>4</v>
      </c>
      <c r="D54" s="37">
        <v>16</v>
      </c>
      <c r="E54" s="37">
        <f t="shared" ref="E54:E60" si="12">C54+D54</f>
        <v>20</v>
      </c>
      <c r="F54" s="37">
        <f t="shared" ref="F54:F60" si="13">ROUNDUP((E54*0.5*0.5)/(((E54-1)*(0.05^2))/(1.282^2)+(0.5*0.5)),0)</f>
        <v>18</v>
      </c>
      <c r="G54" s="37"/>
      <c r="H54" s="37"/>
      <c r="I54" s="37"/>
      <c r="J54" s="37"/>
      <c r="K54" s="37"/>
      <c r="N54" s="78"/>
      <c r="O54" s="37" t="s">
        <v>24</v>
      </c>
      <c r="P54" s="37">
        <v>44</v>
      </c>
      <c r="Q54" s="37">
        <v>8</v>
      </c>
      <c r="R54" s="37">
        <f t="shared" ref="R54:R60" si="14">SUM(P54:Q54)</f>
        <v>52</v>
      </c>
      <c r="S54" s="37">
        <f t="shared" ref="S54:S60" si="15">ROUNDUP((R54*0.5*0.5)/(((R54-1)*(0.05^2))/(1.282^2)+(0.5*0.5)),0)</f>
        <v>40</v>
      </c>
      <c r="T54" s="37"/>
      <c r="U54" s="37"/>
      <c r="V54" s="37"/>
      <c r="W54" s="37"/>
      <c r="X54" s="37"/>
    </row>
    <row r="55" spans="1:24" x14ac:dyDescent="0.25">
      <c r="A55" s="78">
        <v>2023</v>
      </c>
      <c r="B55" s="37" t="s">
        <v>23</v>
      </c>
      <c r="C55" s="37">
        <v>4</v>
      </c>
      <c r="D55" s="37">
        <v>4</v>
      </c>
      <c r="E55" s="37">
        <f t="shared" si="12"/>
        <v>8</v>
      </c>
      <c r="F55" s="37">
        <f t="shared" si="13"/>
        <v>8</v>
      </c>
      <c r="G55" s="37"/>
      <c r="H55" s="37"/>
      <c r="I55" s="37"/>
      <c r="J55" s="37"/>
      <c r="K55" s="37"/>
      <c r="N55" s="78">
        <v>2023</v>
      </c>
      <c r="O55" s="37" t="s">
        <v>23</v>
      </c>
      <c r="P55" s="37">
        <v>37</v>
      </c>
      <c r="Q55" s="37">
        <v>11</v>
      </c>
      <c r="R55" s="37">
        <f t="shared" si="14"/>
        <v>48</v>
      </c>
      <c r="S55" s="37">
        <f t="shared" si="15"/>
        <v>38</v>
      </c>
      <c r="T55" s="37"/>
      <c r="U55" s="37"/>
      <c r="V55" s="37"/>
      <c r="W55" s="37"/>
      <c r="X55" s="37"/>
    </row>
    <row r="56" spans="1:24" x14ac:dyDescent="0.25">
      <c r="A56" s="78"/>
      <c r="B56" s="37" t="s">
        <v>24</v>
      </c>
      <c r="C56" s="37">
        <v>8</v>
      </c>
      <c r="D56" s="37">
        <v>3</v>
      </c>
      <c r="E56" s="37">
        <f t="shared" si="12"/>
        <v>11</v>
      </c>
      <c r="F56" s="37">
        <f t="shared" si="13"/>
        <v>11</v>
      </c>
      <c r="G56" s="37"/>
      <c r="H56" s="37"/>
      <c r="I56" s="37"/>
      <c r="J56" s="37"/>
      <c r="K56" s="37"/>
      <c r="N56" s="78"/>
      <c r="O56" s="37" t="s">
        <v>24</v>
      </c>
      <c r="P56" s="37">
        <v>36</v>
      </c>
      <c r="Q56" s="37">
        <v>7</v>
      </c>
      <c r="R56" s="37">
        <f t="shared" si="14"/>
        <v>43</v>
      </c>
      <c r="S56" s="37">
        <f t="shared" si="15"/>
        <v>35</v>
      </c>
      <c r="T56" s="37"/>
      <c r="U56" s="37"/>
      <c r="V56" s="37"/>
      <c r="W56" s="37"/>
      <c r="X56" s="37"/>
    </row>
    <row r="57" spans="1:24" x14ac:dyDescent="0.25">
      <c r="A57" s="78">
        <v>2024</v>
      </c>
      <c r="B57" s="37" t="s">
        <v>23</v>
      </c>
      <c r="C57" s="37">
        <v>3</v>
      </c>
      <c r="D57" s="37">
        <v>1</v>
      </c>
      <c r="E57" s="37">
        <f t="shared" si="12"/>
        <v>4</v>
      </c>
      <c r="F57" s="37">
        <f t="shared" si="13"/>
        <v>4</v>
      </c>
      <c r="G57" s="37"/>
      <c r="H57" s="37"/>
      <c r="I57" s="37"/>
      <c r="J57" s="37"/>
      <c r="K57" s="37"/>
      <c r="N57" s="78">
        <v>2024</v>
      </c>
      <c r="O57" s="37" t="s">
        <v>23</v>
      </c>
      <c r="P57" s="37">
        <v>21</v>
      </c>
      <c r="Q57" s="37">
        <v>6</v>
      </c>
      <c r="R57" s="37">
        <f t="shared" si="14"/>
        <v>27</v>
      </c>
      <c r="S57" s="37">
        <f t="shared" si="15"/>
        <v>24</v>
      </c>
      <c r="T57" s="37"/>
      <c r="U57" s="37"/>
      <c r="V57" s="37"/>
      <c r="W57" s="37"/>
      <c r="X57" s="37"/>
    </row>
    <row r="58" spans="1:24" x14ac:dyDescent="0.25">
      <c r="A58" s="78"/>
      <c r="B58" s="37" t="s">
        <v>24</v>
      </c>
      <c r="C58" s="37">
        <v>14</v>
      </c>
      <c r="D58" s="37">
        <v>9</v>
      </c>
      <c r="E58" s="37">
        <f t="shared" si="12"/>
        <v>23</v>
      </c>
      <c r="F58" s="37">
        <f t="shared" si="13"/>
        <v>21</v>
      </c>
      <c r="G58" s="37"/>
      <c r="H58" s="37"/>
      <c r="I58" s="37"/>
      <c r="J58" s="37"/>
      <c r="K58" s="37"/>
      <c r="N58" s="78"/>
      <c r="O58" s="37" t="s">
        <v>24</v>
      </c>
      <c r="P58" s="37">
        <v>44</v>
      </c>
      <c r="Q58" s="37">
        <v>12</v>
      </c>
      <c r="R58" s="37">
        <f t="shared" si="14"/>
        <v>56</v>
      </c>
      <c r="S58" s="37">
        <f t="shared" si="15"/>
        <v>42</v>
      </c>
      <c r="T58" s="37"/>
      <c r="U58" s="37"/>
      <c r="V58" s="37"/>
      <c r="W58" s="37"/>
      <c r="X58" s="37"/>
    </row>
    <row r="59" spans="1:24" x14ac:dyDescent="0.25">
      <c r="A59" s="78">
        <v>2025</v>
      </c>
      <c r="B59" s="37" t="s">
        <v>23</v>
      </c>
      <c r="C59" s="37">
        <v>4</v>
      </c>
      <c r="D59" s="37">
        <v>5</v>
      </c>
      <c r="E59" s="37">
        <f t="shared" si="12"/>
        <v>9</v>
      </c>
      <c r="F59" s="37">
        <f t="shared" si="13"/>
        <v>9</v>
      </c>
      <c r="G59" s="37"/>
      <c r="H59" s="37"/>
      <c r="I59" s="37"/>
      <c r="J59" s="37"/>
      <c r="K59" s="37"/>
      <c r="N59" s="78">
        <v>2025</v>
      </c>
      <c r="O59" s="37" t="s">
        <v>23</v>
      </c>
      <c r="P59" s="37">
        <v>34</v>
      </c>
      <c r="Q59" s="37">
        <v>5</v>
      </c>
      <c r="R59" s="37">
        <f t="shared" si="14"/>
        <v>39</v>
      </c>
      <c r="S59" s="37">
        <f t="shared" si="15"/>
        <v>32</v>
      </c>
      <c r="T59" s="37"/>
      <c r="U59" s="37"/>
      <c r="V59" s="37"/>
      <c r="W59" s="37"/>
      <c r="X59" s="37"/>
    </row>
    <row r="60" spans="1:24" x14ac:dyDescent="0.25">
      <c r="A60" s="78"/>
      <c r="B60" s="37" t="s">
        <v>24</v>
      </c>
      <c r="C60" s="37"/>
      <c r="D60" s="37"/>
      <c r="E60" s="37">
        <f t="shared" si="12"/>
        <v>0</v>
      </c>
      <c r="F60" s="37">
        <f t="shared" si="13"/>
        <v>0</v>
      </c>
      <c r="G60" s="37"/>
      <c r="H60" s="37"/>
      <c r="I60" s="37"/>
      <c r="J60" s="37"/>
      <c r="K60" s="37"/>
      <c r="N60" s="78"/>
      <c r="O60" s="37" t="s">
        <v>24</v>
      </c>
      <c r="P60" s="37"/>
      <c r="Q60" s="37"/>
      <c r="R60" s="37">
        <f t="shared" si="14"/>
        <v>0</v>
      </c>
      <c r="S60" s="37">
        <f t="shared" si="15"/>
        <v>0</v>
      </c>
      <c r="T60" s="37"/>
      <c r="U60" s="37"/>
      <c r="V60" s="37"/>
      <c r="W60" s="37"/>
      <c r="X60" s="37"/>
    </row>
    <row r="61" spans="1:24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8" spans="1:24" x14ac:dyDescent="0.25">
      <c r="A68" s="38" t="s">
        <v>37</v>
      </c>
      <c r="B68" s="38"/>
      <c r="C68" s="88" t="s">
        <v>4</v>
      </c>
      <c r="D68" s="88"/>
      <c r="E68" s="88"/>
      <c r="F68" s="38"/>
      <c r="G68" s="38"/>
      <c r="H68" s="38"/>
      <c r="I68" s="38"/>
      <c r="J68" s="38"/>
      <c r="K68" s="38"/>
      <c r="N68" s="38" t="s">
        <v>37</v>
      </c>
      <c r="O68" s="38"/>
      <c r="P68" s="42" t="s">
        <v>8</v>
      </c>
      <c r="Q68" s="42"/>
      <c r="R68" s="42"/>
      <c r="S68" s="38"/>
      <c r="T68" s="38"/>
      <c r="U68" s="38"/>
      <c r="V68" s="38"/>
      <c r="W68" s="38"/>
      <c r="X68" s="38"/>
    </row>
    <row r="69" spans="1:24" x14ac:dyDescent="0.25">
      <c r="A69" s="80" t="s">
        <v>42</v>
      </c>
      <c r="B69" s="82" t="s">
        <v>41</v>
      </c>
      <c r="C69" s="78" t="s">
        <v>40</v>
      </c>
      <c r="D69" s="78"/>
      <c r="E69" s="78"/>
      <c r="F69" s="83" t="s">
        <v>44</v>
      </c>
      <c r="G69" s="85" t="s">
        <v>43</v>
      </c>
      <c r="H69" s="86"/>
      <c r="I69" s="87"/>
      <c r="J69" s="39"/>
      <c r="K69" s="37"/>
      <c r="N69" s="80" t="s">
        <v>42</v>
      </c>
      <c r="O69" s="82" t="s">
        <v>41</v>
      </c>
      <c r="P69" s="78" t="s">
        <v>40</v>
      </c>
      <c r="Q69" s="78"/>
      <c r="R69" s="78"/>
      <c r="S69" s="83" t="s">
        <v>44</v>
      </c>
      <c r="T69" s="85" t="s">
        <v>43</v>
      </c>
      <c r="U69" s="86"/>
      <c r="V69" s="87"/>
      <c r="W69" s="39"/>
      <c r="X69" s="37"/>
    </row>
    <row r="70" spans="1:24" x14ac:dyDescent="0.25">
      <c r="A70" s="81"/>
      <c r="B70" s="82"/>
      <c r="C70" s="37" t="s">
        <v>38</v>
      </c>
      <c r="D70" s="37" t="s">
        <v>49</v>
      </c>
      <c r="E70" s="37" t="s">
        <v>39</v>
      </c>
      <c r="F70" s="84"/>
      <c r="G70" s="41" t="s">
        <v>38</v>
      </c>
      <c r="H70" s="40" t="s">
        <v>49</v>
      </c>
      <c r="I70" s="35"/>
      <c r="K70" s="37"/>
      <c r="N70" s="81"/>
      <c r="O70" s="82"/>
      <c r="P70" s="37" t="s">
        <v>38</v>
      </c>
      <c r="Q70" s="37" t="s">
        <v>49</v>
      </c>
      <c r="R70" s="37" t="s">
        <v>39</v>
      </c>
      <c r="S70" s="84"/>
      <c r="T70" s="41" t="s">
        <v>38</v>
      </c>
      <c r="U70" s="40" t="s">
        <v>49</v>
      </c>
      <c r="V70" s="35"/>
      <c r="X70" s="37"/>
    </row>
    <row r="71" spans="1:24" x14ac:dyDescent="0.25">
      <c r="A71" s="78">
        <v>2022</v>
      </c>
      <c r="B71" s="37" t="s">
        <v>23</v>
      </c>
      <c r="C71" s="37">
        <v>44</v>
      </c>
      <c r="D71" s="37">
        <v>9</v>
      </c>
      <c r="E71" s="37">
        <f>SUM(C71:D71)</f>
        <v>53</v>
      </c>
      <c r="F71" s="37">
        <f>ROUNDUP((E71*0.5*0.5)/(((E71-1)*(0.05^2))/(1.282^2)+(0.5*0.5)),0)</f>
        <v>41</v>
      </c>
      <c r="G71" s="37"/>
      <c r="H71" s="37"/>
      <c r="I71" s="37"/>
      <c r="J71" s="37"/>
      <c r="K71" s="37"/>
      <c r="N71" s="78">
        <v>2022</v>
      </c>
      <c r="O71" s="37" t="s">
        <v>23</v>
      </c>
      <c r="P71" s="37">
        <v>29</v>
      </c>
      <c r="Q71" s="37">
        <v>22</v>
      </c>
      <c r="R71" s="37">
        <f>P71+Q71</f>
        <v>51</v>
      </c>
      <c r="S71" s="37">
        <f>ROUNDUP((R71*0.5*0.5)/(((R71-1)*(0.05^2))/(1.282^2)+(0.5*0.5)),0)</f>
        <v>40</v>
      </c>
      <c r="T71" s="37"/>
      <c r="U71" s="37"/>
      <c r="V71" s="37"/>
      <c r="W71" s="37"/>
      <c r="X71" s="37"/>
    </row>
    <row r="72" spans="1:24" x14ac:dyDescent="0.25">
      <c r="A72" s="78"/>
      <c r="B72" s="37" t="s">
        <v>24</v>
      </c>
      <c r="C72" s="37">
        <v>32</v>
      </c>
      <c r="D72" s="37">
        <v>5</v>
      </c>
      <c r="E72" s="37">
        <f t="shared" ref="E72:E78" si="16">SUM(C72:D72)</f>
        <v>37</v>
      </c>
      <c r="F72" s="37">
        <f t="shared" ref="F72:F78" si="17">ROUNDUP((E72*0.5*0.5)/(((E72-1)*(0.05^2))/(1.282^2)+(0.5*0.5)),0)</f>
        <v>31</v>
      </c>
      <c r="G72" s="37"/>
      <c r="H72" s="37"/>
      <c r="I72" s="37"/>
      <c r="J72" s="37"/>
      <c r="K72" s="37"/>
      <c r="N72" s="78"/>
      <c r="O72" s="37" t="s">
        <v>24</v>
      </c>
      <c r="P72" s="37">
        <v>26</v>
      </c>
      <c r="Q72" s="37">
        <v>9</v>
      </c>
      <c r="R72" s="37">
        <f t="shared" ref="R72:R78" si="18">P72+Q72</f>
        <v>35</v>
      </c>
      <c r="S72" s="37">
        <f t="shared" ref="S72:S78" si="19">ROUNDUP((R72*0.5*0.5)/(((R72-1)*(0.05^2))/(1.282^2)+(0.5*0.5)),0)</f>
        <v>30</v>
      </c>
      <c r="T72" s="37"/>
      <c r="U72" s="37"/>
      <c r="V72" s="37"/>
      <c r="W72" s="37"/>
      <c r="X72" s="37"/>
    </row>
    <row r="73" spans="1:24" x14ac:dyDescent="0.25">
      <c r="A73" s="78">
        <v>2023</v>
      </c>
      <c r="B73" s="37" t="s">
        <v>23</v>
      </c>
      <c r="C73" s="37">
        <v>52</v>
      </c>
      <c r="D73" s="37">
        <v>4</v>
      </c>
      <c r="E73" s="37">
        <f t="shared" si="16"/>
        <v>56</v>
      </c>
      <c r="F73" s="37">
        <f t="shared" si="17"/>
        <v>42</v>
      </c>
      <c r="G73" s="37"/>
      <c r="H73" s="37"/>
      <c r="I73" s="37"/>
      <c r="J73" s="37"/>
      <c r="K73" s="37"/>
      <c r="N73" s="78">
        <v>2023</v>
      </c>
      <c r="O73" s="37" t="s">
        <v>23</v>
      </c>
      <c r="P73" s="37">
        <v>52</v>
      </c>
      <c r="Q73" s="37">
        <v>28</v>
      </c>
      <c r="R73" s="37">
        <f t="shared" si="18"/>
        <v>80</v>
      </c>
      <c r="S73" s="37">
        <f t="shared" si="19"/>
        <v>55</v>
      </c>
      <c r="T73" s="37"/>
      <c r="U73" s="37"/>
      <c r="V73" s="37"/>
      <c r="W73" s="37"/>
      <c r="X73" s="37"/>
    </row>
    <row r="74" spans="1:24" x14ac:dyDescent="0.25">
      <c r="A74" s="78"/>
      <c r="B74" s="37" t="s">
        <v>24</v>
      </c>
      <c r="C74" s="37">
        <v>44</v>
      </c>
      <c r="D74" s="37">
        <v>11</v>
      </c>
      <c r="E74" s="37">
        <f t="shared" si="16"/>
        <v>55</v>
      </c>
      <c r="F74" s="37">
        <f t="shared" si="17"/>
        <v>42</v>
      </c>
      <c r="G74" s="37"/>
      <c r="H74" s="37"/>
      <c r="I74" s="37"/>
      <c r="J74" s="37"/>
      <c r="K74" s="37"/>
      <c r="N74" s="78"/>
      <c r="O74" s="37" t="s">
        <v>24</v>
      </c>
      <c r="P74" s="37">
        <v>23</v>
      </c>
      <c r="Q74" s="37">
        <v>11</v>
      </c>
      <c r="R74" s="37">
        <f t="shared" si="18"/>
        <v>34</v>
      </c>
      <c r="S74" s="37">
        <f t="shared" si="19"/>
        <v>29</v>
      </c>
      <c r="T74" s="37"/>
      <c r="U74" s="37"/>
      <c r="V74" s="37"/>
      <c r="W74" s="37"/>
      <c r="X74" s="37"/>
    </row>
    <row r="75" spans="1:24" x14ac:dyDescent="0.25">
      <c r="A75" s="78">
        <v>2024</v>
      </c>
      <c r="B75" s="37" t="s">
        <v>23</v>
      </c>
      <c r="C75" s="37">
        <v>48</v>
      </c>
      <c r="D75" s="37">
        <v>10</v>
      </c>
      <c r="E75" s="37">
        <f t="shared" si="16"/>
        <v>58</v>
      </c>
      <c r="F75" s="37">
        <f t="shared" si="17"/>
        <v>44</v>
      </c>
      <c r="G75" s="37"/>
      <c r="H75" s="37"/>
      <c r="I75" s="37"/>
      <c r="J75" s="37"/>
      <c r="K75" s="37"/>
      <c r="N75" s="78">
        <v>2024</v>
      </c>
      <c r="O75" s="37" t="s">
        <v>23</v>
      </c>
      <c r="P75" s="37">
        <v>41</v>
      </c>
      <c r="Q75" s="37">
        <v>29</v>
      </c>
      <c r="R75" s="37">
        <f t="shared" si="18"/>
        <v>70</v>
      </c>
      <c r="S75" s="37">
        <f t="shared" si="19"/>
        <v>50</v>
      </c>
      <c r="T75" s="37"/>
      <c r="U75" s="37"/>
      <c r="V75" s="37"/>
      <c r="W75" s="37"/>
      <c r="X75" s="37"/>
    </row>
    <row r="76" spans="1:24" x14ac:dyDescent="0.25">
      <c r="A76" s="78"/>
      <c r="B76" s="37" t="s">
        <v>24</v>
      </c>
      <c r="C76" s="37">
        <v>40</v>
      </c>
      <c r="D76" s="37">
        <v>4</v>
      </c>
      <c r="E76" s="37">
        <f t="shared" si="16"/>
        <v>44</v>
      </c>
      <c r="F76" s="37">
        <f t="shared" si="17"/>
        <v>35</v>
      </c>
      <c r="G76" s="37"/>
      <c r="H76" s="37"/>
      <c r="I76" s="37"/>
      <c r="J76" s="37"/>
      <c r="K76" s="37"/>
      <c r="N76" s="78"/>
      <c r="O76" s="37" t="s">
        <v>24</v>
      </c>
      <c r="P76" s="37">
        <v>22</v>
      </c>
      <c r="Q76" s="37">
        <v>5</v>
      </c>
      <c r="R76" s="37">
        <f t="shared" si="18"/>
        <v>27</v>
      </c>
      <c r="S76" s="37">
        <f t="shared" si="19"/>
        <v>24</v>
      </c>
      <c r="T76" s="37"/>
      <c r="U76" s="37"/>
      <c r="V76" s="37"/>
      <c r="W76" s="37"/>
      <c r="X76" s="37"/>
    </row>
    <row r="77" spans="1:24" x14ac:dyDescent="0.25">
      <c r="A77" s="78">
        <v>2025</v>
      </c>
      <c r="B77" s="37" t="s">
        <v>23</v>
      </c>
      <c r="C77" s="37">
        <v>43</v>
      </c>
      <c r="D77" s="37">
        <v>8</v>
      </c>
      <c r="E77" s="37">
        <f t="shared" si="16"/>
        <v>51</v>
      </c>
      <c r="F77" s="37">
        <f t="shared" si="17"/>
        <v>40</v>
      </c>
      <c r="G77" s="37"/>
      <c r="H77" s="37"/>
      <c r="I77" s="37"/>
      <c r="J77" s="37"/>
      <c r="K77" s="37"/>
      <c r="N77" s="78">
        <v>2025</v>
      </c>
      <c r="O77" s="37" t="s">
        <v>23</v>
      </c>
      <c r="P77" s="37">
        <v>37</v>
      </c>
      <c r="Q77" s="37">
        <v>8</v>
      </c>
      <c r="R77" s="37">
        <f t="shared" si="18"/>
        <v>45</v>
      </c>
      <c r="S77" s="37">
        <f t="shared" si="19"/>
        <v>36</v>
      </c>
      <c r="T77" s="37"/>
      <c r="U77" s="37"/>
      <c r="V77" s="37"/>
      <c r="W77" s="37"/>
      <c r="X77" s="37"/>
    </row>
    <row r="78" spans="1:24" x14ac:dyDescent="0.25">
      <c r="A78" s="78"/>
      <c r="B78" s="37" t="s">
        <v>24</v>
      </c>
      <c r="C78" s="37"/>
      <c r="D78" s="37"/>
      <c r="E78" s="37">
        <f t="shared" si="16"/>
        <v>0</v>
      </c>
      <c r="F78" s="37">
        <f t="shared" si="17"/>
        <v>0</v>
      </c>
      <c r="G78" s="37"/>
      <c r="H78" s="37"/>
      <c r="I78" s="37"/>
      <c r="J78" s="37"/>
      <c r="K78" s="37"/>
      <c r="N78" s="78"/>
      <c r="O78" s="37" t="s">
        <v>24</v>
      </c>
      <c r="P78" s="37"/>
      <c r="Q78" s="37"/>
      <c r="R78" s="37">
        <f t="shared" si="18"/>
        <v>0</v>
      </c>
      <c r="S78" s="37">
        <f t="shared" si="19"/>
        <v>0</v>
      </c>
      <c r="T78" s="37"/>
      <c r="U78" s="37"/>
      <c r="V78" s="37"/>
      <c r="W78" s="37"/>
      <c r="X78" s="37"/>
    </row>
    <row r="79" spans="1:24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</row>
    <row r="83" spans="1:11" x14ac:dyDescent="0.25">
      <c r="A83" s="38" t="s">
        <v>37</v>
      </c>
      <c r="B83" s="38"/>
      <c r="C83" s="42" t="s">
        <v>47</v>
      </c>
      <c r="D83" s="42"/>
      <c r="E83" s="42"/>
      <c r="F83" s="38"/>
      <c r="G83" s="38"/>
      <c r="H83" s="38"/>
      <c r="I83" s="38"/>
      <c r="J83" s="38"/>
      <c r="K83" s="38"/>
    </row>
    <row r="84" spans="1:11" x14ac:dyDescent="0.25">
      <c r="A84" s="80" t="s">
        <v>42</v>
      </c>
      <c r="B84" s="82" t="s">
        <v>41</v>
      </c>
      <c r="C84" s="78" t="s">
        <v>40</v>
      </c>
      <c r="D84" s="78"/>
      <c r="E84" s="78"/>
      <c r="F84" s="83" t="s">
        <v>44</v>
      </c>
      <c r="G84" s="85" t="s">
        <v>43</v>
      </c>
      <c r="H84" s="86"/>
      <c r="I84" s="87"/>
      <c r="J84" s="39"/>
      <c r="K84" s="37"/>
    </row>
    <row r="85" spans="1:11" x14ac:dyDescent="0.25">
      <c r="A85" s="81"/>
      <c r="B85" s="82"/>
      <c r="C85" s="37" t="s">
        <v>38</v>
      </c>
      <c r="D85" s="37" t="s">
        <v>49</v>
      </c>
      <c r="E85" s="37" t="s">
        <v>39</v>
      </c>
      <c r="F85" s="84"/>
      <c r="G85" s="41" t="s">
        <v>38</v>
      </c>
      <c r="H85" s="40" t="s">
        <v>49</v>
      </c>
      <c r="I85" s="35"/>
      <c r="K85" s="37"/>
    </row>
    <row r="86" spans="1:11" x14ac:dyDescent="0.25">
      <c r="A86" s="78">
        <v>2022</v>
      </c>
      <c r="B86" s="37" t="s">
        <v>23</v>
      </c>
      <c r="C86" s="37">
        <v>9</v>
      </c>
      <c r="D86" s="37">
        <v>5</v>
      </c>
      <c r="E86" s="37">
        <f>C86+D86</f>
        <v>14</v>
      </c>
      <c r="F86" s="37">
        <f>ROUNDUP((E86*0.5*0.5)/(((E86-1)*(0.05^2))/(1.282^2)+(0.5*0.5)),0)</f>
        <v>13</v>
      </c>
      <c r="G86" s="37"/>
      <c r="H86" s="37"/>
      <c r="I86" s="37"/>
      <c r="J86" s="37"/>
      <c r="K86" s="37"/>
    </row>
    <row r="87" spans="1:11" x14ac:dyDescent="0.25">
      <c r="A87" s="78"/>
      <c r="B87" s="37" t="s">
        <v>24</v>
      </c>
      <c r="C87" s="37">
        <v>0</v>
      </c>
      <c r="D87" s="37">
        <v>1</v>
      </c>
      <c r="E87" s="37">
        <f t="shared" ref="E87:E93" si="20">C87+D87</f>
        <v>1</v>
      </c>
      <c r="F87" s="37">
        <f t="shared" ref="F87:F93" si="21">ROUNDUP((E87*0.5*0.5)/(((E87-1)*(0.05^2))/(1.282^2)+(0.5*0.5)),0)</f>
        <v>1</v>
      </c>
      <c r="G87" s="37"/>
      <c r="H87" s="37"/>
      <c r="I87" s="37"/>
      <c r="J87" s="37"/>
      <c r="K87" s="37"/>
    </row>
    <row r="88" spans="1:11" x14ac:dyDescent="0.25">
      <c r="A88" s="78">
        <v>2023</v>
      </c>
      <c r="B88" s="37" t="s">
        <v>23</v>
      </c>
      <c r="C88" s="37">
        <v>7</v>
      </c>
      <c r="D88" s="37">
        <v>6</v>
      </c>
      <c r="E88" s="37">
        <f t="shared" si="20"/>
        <v>13</v>
      </c>
      <c r="F88" s="37">
        <f t="shared" si="21"/>
        <v>13</v>
      </c>
      <c r="G88" s="37"/>
      <c r="H88" s="37"/>
      <c r="I88" s="37"/>
      <c r="J88" s="37"/>
      <c r="K88" s="37"/>
    </row>
    <row r="89" spans="1:11" x14ac:dyDescent="0.25">
      <c r="A89" s="78"/>
      <c r="B89" s="37" t="s">
        <v>24</v>
      </c>
      <c r="C89" s="37">
        <v>0</v>
      </c>
      <c r="D89" s="37">
        <v>0</v>
      </c>
      <c r="E89" s="37">
        <f t="shared" si="20"/>
        <v>0</v>
      </c>
      <c r="F89" s="37">
        <f t="shared" si="21"/>
        <v>0</v>
      </c>
      <c r="G89" s="37"/>
      <c r="H89" s="37"/>
      <c r="I89" s="37"/>
      <c r="J89" s="37"/>
      <c r="K89" s="37"/>
    </row>
    <row r="90" spans="1:11" x14ac:dyDescent="0.25">
      <c r="A90" s="78">
        <v>2024</v>
      </c>
      <c r="B90" s="37" t="s">
        <v>23</v>
      </c>
      <c r="C90" s="37">
        <v>3</v>
      </c>
      <c r="D90" s="37">
        <v>1</v>
      </c>
      <c r="E90" s="37">
        <f t="shared" si="20"/>
        <v>4</v>
      </c>
      <c r="F90" s="37">
        <f t="shared" si="21"/>
        <v>4</v>
      </c>
      <c r="G90" s="37"/>
      <c r="H90" s="37"/>
      <c r="I90" s="37"/>
      <c r="J90" s="37"/>
      <c r="K90" s="37"/>
    </row>
    <row r="91" spans="1:11" x14ac:dyDescent="0.25">
      <c r="A91" s="78"/>
      <c r="B91" s="37" t="s">
        <v>24</v>
      </c>
      <c r="C91" s="37">
        <v>1</v>
      </c>
      <c r="D91" s="37">
        <v>0</v>
      </c>
      <c r="E91" s="37">
        <f t="shared" si="20"/>
        <v>1</v>
      </c>
      <c r="F91" s="37">
        <f t="shared" si="21"/>
        <v>1</v>
      </c>
      <c r="G91" s="37"/>
      <c r="H91" s="37"/>
      <c r="I91" s="37"/>
      <c r="J91" s="37"/>
      <c r="K91" s="37"/>
    </row>
    <row r="92" spans="1:11" x14ac:dyDescent="0.25">
      <c r="A92" s="78">
        <v>2025</v>
      </c>
      <c r="B92" s="37" t="s">
        <v>23</v>
      </c>
      <c r="C92" s="37">
        <v>0</v>
      </c>
      <c r="D92" s="37">
        <v>1</v>
      </c>
      <c r="E92" s="37">
        <f t="shared" si="20"/>
        <v>1</v>
      </c>
      <c r="F92" s="37">
        <f t="shared" si="21"/>
        <v>1</v>
      </c>
      <c r="G92" s="37"/>
      <c r="H92" s="37"/>
      <c r="I92" s="37"/>
      <c r="J92" s="37"/>
      <c r="K92" s="37"/>
    </row>
    <row r="93" spans="1:11" x14ac:dyDescent="0.25">
      <c r="A93" s="78"/>
      <c r="B93" s="37" t="s">
        <v>24</v>
      </c>
      <c r="C93" s="37"/>
      <c r="D93" s="37"/>
      <c r="E93" s="37">
        <f t="shared" si="20"/>
        <v>0</v>
      </c>
      <c r="F93" s="37">
        <f t="shared" si="21"/>
        <v>0</v>
      </c>
      <c r="G93" s="37"/>
      <c r="H93" s="37"/>
      <c r="I93" s="37"/>
      <c r="J93" s="37"/>
      <c r="K93" s="37"/>
    </row>
    <row r="94" spans="1:1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</sheetData>
  <mergeCells count="107">
    <mergeCell ref="S3:S4"/>
    <mergeCell ref="T3:V3"/>
    <mergeCell ref="A5:A6"/>
    <mergeCell ref="N5:N6"/>
    <mergeCell ref="A7:A8"/>
    <mergeCell ref="N7:N8"/>
    <mergeCell ref="P2:R2"/>
    <mergeCell ref="A3:A4"/>
    <mergeCell ref="B3:B4"/>
    <mergeCell ref="C3:E3"/>
    <mergeCell ref="F3:F4"/>
    <mergeCell ref="G3:I3"/>
    <mergeCell ref="N3:N4"/>
    <mergeCell ref="O3:O4"/>
    <mergeCell ref="P3:R3"/>
    <mergeCell ref="S18:S19"/>
    <mergeCell ref="T18:V18"/>
    <mergeCell ref="A20:A21"/>
    <mergeCell ref="N20:N21"/>
    <mergeCell ref="A9:A10"/>
    <mergeCell ref="N9:N10"/>
    <mergeCell ref="A11:A12"/>
    <mergeCell ref="N11:N12"/>
    <mergeCell ref="C17:E17"/>
    <mergeCell ref="A18:A19"/>
    <mergeCell ref="B18:B19"/>
    <mergeCell ref="C18:E18"/>
    <mergeCell ref="F18:F19"/>
    <mergeCell ref="G18:I18"/>
    <mergeCell ref="A22:A23"/>
    <mergeCell ref="N22:N23"/>
    <mergeCell ref="A24:A25"/>
    <mergeCell ref="N24:N25"/>
    <mergeCell ref="A26:A27"/>
    <mergeCell ref="N26:N27"/>
    <mergeCell ref="N18:N19"/>
    <mergeCell ref="O18:O19"/>
    <mergeCell ref="P18:R18"/>
    <mergeCell ref="C35:E35"/>
    <mergeCell ref="P35:R35"/>
    <mergeCell ref="A36:A37"/>
    <mergeCell ref="B36:B37"/>
    <mergeCell ref="C36:E36"/>
    <mergeCell ref="F36:F37"/>
    <mergeCell ref="G36:I36"/>
    <mergeCell ref="N36:N37"/>
    <mergeCell ref="O36:O37"/>
    <mergeCell ref="P36:R36"/>
    <mergeCell ref="A42:A43"/>
    <mergeCell ref="N42:N43"/>
    <mergeCell ref="A44:A45"/>
    <mergeCell ref="N44:N45"/>
    <mergeCell ref="C50:E50"/>
    <mergeCell ref="P50:R50"/>
    <mergeCell ref="S36:S37"/>
    <mergeCell ref="T36:V36"/>
    <mergeCell ref="A38:A39"/>
    <mergeCell ref="N38:N39"/>
    <mergeCell ref="A40:A41"/>
    <mergeCell ref="N40:N41"/>
    <mergeCell ref="O51:O52"/>
    <mergeCell ref="P51:R51"/>
    <mergeCell ref="S51:S52"/>
    <mergeCell ref="T51:V51"/>
    <mergeCell ref="A53:A54"/>
    <mergeCell ref="N53:N54"/>
    <mergeCell ref="A51:A52"/>
    <mergeCell ref="B51:B52"/>
    <mergeCell ref="C51:E51"/>
    <mergeCell ref="F51:F52"/>
    <mergeCell ref="G51:I51"/>
    <mergeCell ref="N51:N52"/>
    <mergeCell ref="A69:A70"/>
    <mergeCell ref="B69:B70"/>
    <mergeCell ref="C69:E69"/>
    <mergeCell ref="F69:F70"/>
    <mergeCell ref="G69:I69"/>
    <mergeCell ref="A55:A56"/>
    <mergeCell ref="N55:N56"/>
    <mergeCell ref="A57:A58"/>
    <mergeCell ref="N57:N58"/>
    <mergeCell ref="A59:A60"/>
    <mergeCell ref="N59:N60"/>
    <mergeCell ref="A88:A89"/>
    <mergeCell ref="A90:A91"/>
    <mergeCell ref="A92:A93"/>
    <mergeCell ref="A1:X1"/>
    <mergeCell ref="A84:A85"/>
    <mergeCell ref="B84:B85"/>
    <mergeCell ref="C84:E84"/>
    <mergeCell ref="F84:F85"/>
    <mergeCell ref="G84:I84"/>
    <mergeCell ref="A86:A87"/>
    <mergeCell ref="A73:A74"/>
    <mergeCell ref="N73:N74"/>
    <mergeCell ref="A75:A76"/>
    <mergeCell ref="N75:N76"/>
    <mergeCell ref="A77:A78"/>
    <mergeCell ref="N77:N78"/>
    <mergeCell ref="N69:N70"/>
    <mergeCell ref="O69:O70"/>
    <mergeCell ref="P69:R69"/>
    <mergeCell ref="S69:S70"/>
    <mergeCell ref="T69:V69"/>
    <mergeCell ref="A71:A72"/>
    <mergeCell ref="N71:N72"/>
    <mergeCell ref="C68:E68"/>
  </mergeCells>
  <pageMargins left="0.25" right="0.25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056D-7856-4072-ADDC-2855D1D20558}">
  <dimension ref="A1:T30"/>
  <sheetViews>
    <sheetView showGridLines="0" zoomScale="130" zoomScaleNormal="130" workbookViewId="0">
      <selection activeCell="Q10" sqref="Q10"/>
    </sheetView>
  </sheetViews>
  <sheetFormatPr baseColWidth="10" defaultRowHeight="15" x14ac:dyDescent="0.25"/>
  <cols>
    <col min="1" max="1" width="5.42578125" bestFit="1" customWidth="1"/>
    <col min="2" max="2" width="6" customWidth="1"/>
    <col min="3" max="3" width="4.140625" bestFit="1" customWidth="1"/>
    <col min="4" max="4" width="4.140625" customWidth="1"/>
    <col min="5" max="5" width="5.85546875" customWidth="1"/>
    <col min="6" max="6" width="9.42578125" customWidth="1"/>
    <col min="7" max="7" width="3.7109375" customWidth="1"/>
    <col min="8" max="8" width="3.5703125" customWidth="1"/>
    <col min="9" max="10" width="4.140625" customWidth="1"/>
    <col min="11" max="11" width="3.42578125" bestFit="1" customWidth="1"/>
    <col min="12" max="12" width="3.42578125" customWidth="1"/>
    <col min="13" max="13" width="4.140625" bestFit="1" customWidth="1"/>
    <col min="14" max="14" width="4.140625" customWidth="1"/>
    <col min="15" max="15" width="4.7109375" customWidth="1"/>
    <col min="16" max="16" width="4.140625" bestFit="1" customWidth="1"/>
    <col min="17" max="17" width="3.42578125" bestFit="1" customWidth="1"/>
    <col min="18" max="18" width="3.42578125" customWidth="1"/>
    <col min="19" max="19" width="4.140625" bestFit="1" customWidth="1"/>
    <col min="20" max="21" width="4.140625" customWidth="1"/>
    <col min="22" max="22" width="3.42578125" bestFit="1" customWidth="1"/>
    <col min="23" max="23" width="3.42578125" customWidth="1"/>
    <col min="24" max="24" width="4.140625" bestFit="1" customWidth="1"/>
    <col min="25" max="26" width="4.140625" customWidth="1"/>
    <col min="27" max="27" width="5.140625" customWidth="1"/>
    <col min="28" max="28" width="3.42578125" bestFit="1" customWidth="1"/>
    <col min="29" max="29" width="3.42578125" customWidth="1"/>
    <col min="30" max="30" width="4.140625" bestFit="1" customWidth="1"/>
    <col min="31" max="32" width="4.140625" customWidth="1"/>
    <col min="33" max="33" width="3.42578125" bestFit="1" customWidth="1"/>
    <col min="34" max="34" width="3.42578125" customWidth="1"/>
    <col min="35" max="35" width="4.140625" bestFit="1" customWidth="1"/>
    <col min="36" max="36" width="4.140625" customWidth="1"/>
    <col min="37" max="37" width="4.5703125" customWidth="1"/>
    <col min="38" max="38" width="4.85546875" customWidth="1"/>
    <col min="39" max="39" width="3.42578125" bestFit="1" customWidth="1"/>
    <col min="40" max="40" width="3.42578125" customWidth="1"/>
    <col min="41" max="41" width="4.140625" bestFit="1" customWidth="1"/>
    <col min="42" max="42" width="4.85546875" customWidth="1"/>
    <col min="43" max="43" width="4.140625" bestFit="1" customWidth="1"/>
  </cols>
  <sheetData>
    <row r="1" spans="1:20" x14ac:dyDescent="0.25">
      <c r="A1" s="38" t="s">
        <v>45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x14ac:dyDescent="0.25">
      <c r="A2" s="38" t="s">
        <v>37</v>
      </c>
      <c r="B2" s="38"/>
      <c r="C2" s="38" t="s">
        <v>2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 spans="1:20" ht="15" customHeight="1" x14ac:dyDescent="0.25">
      <c r="A3" s="80" t="s">
        <v>42</v>
      </c>
      <c r="B3" s="82" t="s">
        <v>41</v>
      </c>
      <c r="C3" s="78" t="s">
        <v>40</v>
      </c>
      <c r="D3" s="78"/>
      <c r="E3" s="78"/>
      <c r="F3" s="83" t="s">
        <v>50</v>
      </c>
      <c r="G3" s="89" t="s">
        <v>43</v>
      </c>
      <c r="H3" s="90"/>
      <c r="I3" s="91"/>
      <c r="J3" s="39"/>
      <c r="K3" s="37"/>
      <c r="L3" s="37"/>
      <c r="M3" s="37"/>
      <c r="N3" s="37"/>
      <c r="O3" s="37"/>
      <c r="P3" s="36"/>
      <c r="Q3" s="36"/>
      <c r="R3" s="36"/>
    </row>
    <row r="4" spans="1:20" x14ac:dyDescent="0.25">
      <c r="A4" s="81"/>
      <c r="B4" s="82"/>
      <c r="C4" s="37" t="s">
        <v>38</v>
      </c>
      <c r="D4" s="37" t="s">
        <v>49</v>
      </c>
      <c r="E4" s="37" t="s">
        <v>48</v>
      </c>
      <c r="F4" s="84"/>
      <c r="G4" s="41" t="s">
        <v>38</v>
      </c>
      <c r="H4" s="40" t="s">
        <v>49</v>
      </c>
      <c r="I4" s="35" t="s">
        <v>39</v>
      </c>
      <c r="K4" s="37"/>
      <c r="L4" s="37"/>
      <c r="M4" s="37"/>
      <c r="N4" s="37"/>
      <c r="O4" s="37"/>
      <c r="P4" s="36"/>
      <c r="Q4" s="36"/>
      <c r="R4" s="36"/>
    </row>
    <row r="5" spans="1:20" x14ac:dyDescent="0.25">
      <c r="A5" s="78">
        <v>2022</v>
      </c>
      <c r="B5" s="37" t="s">
        <v>23</v>
      </c>
      <c r="C5" s="37">
        <v>25</v>
      </c>
      <c r="D5" s="37">
        <v>30</v>
      </c>
      <c r="E5" s="37">
        <v>55</v>
      </c>
      <c r="F5" s="37">
        <f>ROUNDUP((E5*0.5*0.5)/(((E5-1)*(0.05^2))/(1.282^2)+(0.5*0.5)),0)</f>
        <v>42</v>
      </c>
      <c r="G5" s="37"/>
      <c r="H5" s="37"/>
      <c r="I5" s="37"/>
      <c r="J5" s="37"/>
      <c r="K5" s="37"/>
      <c r="L5" s="37"/>
      <c r="M5" s="37"/>
      <c r="N5" s="37"/>
      <c r="O5" s="37"/>
      <c r="P5" s="36"/>
      <c r="Q5" s="36"/>
      <c r="R5" s="36"/>
    </row>
    <row r="6" spans="1:20" x14ac:dyDescent="0.25">
      <c r="A6" s="78"/>
      <c r="B6" s="37" t="s">
        <v>24</v>
      </c>
      <c r="C6" s="37">
        <v>27</v>
      </c>
      <c r="D6" s="37">
        <v>30</v>
      </c>
      <c r="E6" s="37">
        <v>57</v>
      </c>
      <c r="F6" s="37">
        <f t="shared" ref="F6:F12" si="0">ROUNDUP((E6*0.5*0.5)/(((E6-1)*(0.05^2))/(1.282^2)+(0.5*0.5)),0)</f>
        <v>43</v>
      </c>
      <c r="G6" s="37"/>
      <c r="H6" s="37"/>
      <c r="I6" s="37"/>
      <c r="J6" s="37"/>
      <c r="K6" s="37"/>
      <c r="L6" s="37"/>
      <c r="M6" s="37"/>
      <c r="N6" s="37"/>
      <c r="O6" s="37"/>
      <c r="P6" s="36"/>
      <c r="Q6" s="36"/>
      <c r="R6" s="36"/>
    </row>
    <row r="7" spans="1:20" x14ac:dyDescent="0.25">
      <c r="A7" s="78">
        <v>2023</v>
      </c>
      <c r="B7" s="37" t="s">
        <v>23</v>
      </c>
      <c r="C7" s="37">
        <v>33</v>
      </c>
      <c r="D7" s="37">
        <v>38</v>
      </c>
      <c r="E7" s="37">
        <f>C7+D7</f>
        <v>71</v>
      </c>
      <c r="F7" s="37">
        <f t="shared" si="0"/>
        <v>50</v>
      </c>
      <c r="G7" s="37"/>
      <c r="H7" s="37"/>
      <c r="I7" s="37"/>
      <c r="J7" s="37"/>
      <c r="K7" s="37"/>
      <c r="L7" s="37"/>
      <c r="M7" s="37"/>
      <c r="N7" s="37"/>
      <c r="O7" s="37"/>
      <c r="P7" s="36"/>
      <c r="Q7" s="36"/>
      <c r="R7" s="36"/>
    </row>
    <row r="8" spans="1:20" x14ac:dyDescent="0.25">
      <c r="A8" s="78"/>
      <c r="B8" s="37" t="s">
        <v>24</v>
      </c>
      <c r="C8" s="37">
        <v>37</v>
      </c>
      <c r="D8" s="37">
        <v>40</v>
      </c>
      <c r="E8" s="37">
        <f t="shared" ref="E8:E12" si="1">C8+D8</f>
        <v>77</v>
      </c>
      <c r="F8" s="37">
        <f t="shared" si="0"/>
        <v>53</v>
      </c>
      <c r="G8" s="37"/>
      <c r="H8" s="37"/>
      <c r="I8" s="37"/>
      <c r="J8" s="37"/>
      <c r="K8" s="37"/>
      <c r="L8" s="37"/>
      <c r="M8" s="37"/>
      <c r="N8" s="37"/>
      <c r="O8" s="37"/>
      <c r="P8" s="36"/>
      <c r="Q8" s="36"/>
      <c r="R8" s="36"/>
    </row>
    <row r="9" spans="1:20" x14ac:dyDescent="0.25">
      <c r="A9" s="78">
        <v>2024</v>
      </c>
      <c r="B9" s="37" t="s">
        <v>23</v>
      </c>
      <c r="C9" s="37">
        <v>28</v>
      </c>
      <c r="D9" s="37">
        <v>29</v>
      </c>
      <c r="E9" s="37">
        <f t="shared" si="1"/>
        <v>57</v>
      </c>
      <c r="F9" s="37">
        <f t="shared" si="0"/>
        <v>43</v>
      </c>
      <c r="G9" s="37"/>
      <c r="H9" s="37"/>
      <c r="I9" s="37"/>
      <c r="J9" s="37"/>
      <c r="K9" s="37"/>
      <c r="L9" s="37"/>
      <c r="M9" s="37"/>
      <c r="N9" s="37"/>
      <c r="O9" s="37"/>
      <c r="P9" s="36"/>
      <c r="Q9" s="36"/>
      <c r="R9" s="36"/>
    </row>
    <row r="10" spans="1:20" x14ac:dyDescent="0.25">
      <c r="A10" s="78"/>
      <c r="B10" s="37" t="s">
        <v>24</v>
      </c>
      <c r="C10" s="37">
        <v>48</v>
      </c>
      <c r="D10" s="37">
        <v>46</v>
      </c>
      <c r="E10" s="37">
        <f t="shared" si="1"/>
        <v>94</v>
      </c>
      <c r="F10" s="37">
        <f t="shared" si="0"/>
        <v>61</v>
      </c>
      <c r="G10" s="37"/>
      <c r="H10" s="37"/>
      <c r="I10" s="37"/>
      <c r="J10" s="37"/>
      <c r="K10" s="37"/>
      <c r="L10" s="37"/>
      <c r="M10" s="37"/>
      <c r="N10" s="37"/>
      <c r="O10" s="37"/>
      <c r="P10" s="36"/>
      <c r="Q10" s="36"/>
      <c r="R10" s="36"/>
    </row>
    <row r="11" spans="1:20" x14ac:dyDescent="0.25">
      <c r="A11" s="78">
        <v>2025</v>
      </c>
      <c r="B11" s="37" t="s">
        <v>23</v>
      </c>
      <c r="C11" s="37">
        <v>25</v>
      </c>
      <c r="D11" s="37">
        <v>36</v>
      </c>
      <c r="E11" s="37">
        <f t="shared" si="1"/>
        <v>61</v>
      </c>
      <c r="F11" s="37">
        <f t="shared" si="0"/>
        <v>45</v>
      </c>
      <c r="G11" s="37"/>
      <c r="H11" s="37"/>
      <c r="I11" s="37"/>
      <c r="J11" s="37"/>
      <c r="K11" s="37"/>
      <c r="L11" s="37"/>
      <c r="M11" s="37"/>
      <c r="N11" s="37"/>
      <c r="O11" s="37"/>
      <c r="P11" s="36"/>
      <c r="Q11" s="36"/>
      <c r="R11" s="36"/>
    </row>
    <row r="12" spans="1:20" x14ac:dyDescent="0.25">
      <c r="A12" s="78"/>
      <c r="B12" s="37" t="s">
        <v>24</v>
      </c>
      <c r="C12" s="37"/>
      <c r="D12" s="37"/>
      <c r="E12" s="37">
        <f t="shared" si="1"/>
        <v>0</v>
      </c>
      <c r="F12" s="37">
        <f t="shared" si="0"/>
        <v>0</v>
      </c>
      <c r="G12" s="37"/>
      <c r="H12" s="37"/>
      <c r="I12" s="37"/>
      <c r="J12" s="37"/>
      <c r="K12" s="37"/>
      <c r="L12" s="37"/>
      <c r="M12" s="37"/>
      <c r="N12" s="37"/>
      <c r="O12" s="37"/>
      <c r="P12" s="36"/>
      <c r="Q12" s="36"/>
      <c r="R12" s="36"/>
    </row>
    <row r="13" spans="1:20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6"/>
      <c r="Q13" s="36"/>
      <c r="R13" s="36"/>
    </row>
    <row r="14" spans="1:20" x14ac:dyDescent="0.25">
      <c r="A14" s="67" t="s">
        <v>17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59"/>
      <c r="Q14" s="59"/>
      <c r="R14" s="59"/>
      <c r="S14" s="59"/>
    </row>
    <row r="15" spans="1:20" x14ac:dyDescent="0.2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</row>
    <row r="16" spans="1:20" x14ac:dyDescent="0.25">
      <c r="A16" s="59" t="s">
        <v>20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60"/>
      <c r="M17" s="60"/>
      <c r="N17" s="1"/>
      <c r="O17" s="1"/>
      <c r="P17" s="1"/>
      <c r="Q17" s="1"/>
      <c r="R17" s="1"/>
      <c r="S17" s="1"/>
    </row>
    <row r="18" spans="1:19" x14ac:dyDescent="0.25">
      <c r="A18" s="1" t="s">
        <v>12</v>
      </c>
      <c r="B18" s="3">
        <v>55</v>
      </c>
      <c r="C18" s="3"/>
      <c r="D18" s="3"/>
      <c r="E18" s="3"/>
      <c r="F18" s="3"/>
      <c r="G18" s="3"/>
      <c r="K18" s="5"/>
      <c r="L18" s="5"/>
      <c r="M18" s="1"/>
      <c r="N18" s="1"/>
      <c r="O18" s="1"/>
      <c r="P18" s="1"/>
      <c r="Q18" s="1"/>
      <c r="R18" s="1"/>
      <c r="S18" s="1"/>
    </row>
    <row r="19" spans="1:19" x14ac:dyDescent="0.25">
      <c r="A19" s="1" t="s">
        <v>13</v>
      </c>
      <c r="B19" s="3">
        <v>0.5</v>
      </c>
      <c r="C19" s="3"/>
      <c r="D19" s="3"/>
      <c r="E19" s="3"/>
      <c r="F19" s="3"/>
      <c r="G19" s="3"/>
      <c r="H19" s="5"/>
      <c r="I19" s="5"/>
      <c r="J19" s="5"/>
      <c r="K19" s="5"/>
      <c r="L19" s="5"/>
      <c r="M19" s="1"/>
      <c r="N19" s="1"/>
      <c r="O19" s="1"/>
      <c r="P19" s="1"/>
      <c r="Q19" s="1"/>
      <c r="R19" s="1"/>
      <c r="S19" s="1"/>
    </row>
    <row r="20" spans="1:19" x14ac:dyDescent="0.25">
      <c r="A20" s="1" t="s">
        <v>21</v>
      </c>
      <c r="B20" s="3">
        <v>0.5</v>
      </c>
      <c r="C20" s="3"/>
      <c r="D20" s="3"/>
      <c r="E20" s="3"/>
      <c r="F20" s="3"/>
      <c r="G20" s="3"/>
      <c r="H20" s="5"/>
      <c r="I20" s="5"/>
      <c r="J20" s="5"/>
      <c r="K20" s="5"/>
      <c r="L20" s="5"/>
      <c r="M20" s="4"/>
      <c r="N20" s="1"/>
      <c r="O20" s="1"/>
      <c r="P20" s="1"/>
      <c r="Q20" s="1"/>
      <c r="R20" s="1"/>
      <c r="S20" s="1"/>
    </row>
    <row r="21" spans="1:19" ht="19.5" customHeight="1" x14ac:dyDescent="0.25">
      <c r="A21" s="1" t="s">
        <v>14</v>
      </c>
      <c r="B21" s="92" t="s">
        <v>18</v>
      </c>
      <c r="C21" s="92"/>
      <c r="D21" s="92"/>
      <c r="E21" s="92"/>
      <c r="F21" s="92"/>
      <c r="G21" s="2"/>
      <c r="H21" s="5"/>
      <c r="I21" s="5"/>
      <c r="J21" s="5"/>
      <c r="K21" s="5"/>
      <c r="L21" s="5"/>
      <c r="M21" s="1"/>
      <c r="N21" s="1"/>
      <c r="O21" s="1"/>
      <c r="P21" s="1"/>
      <c r="Q21" s="1"/>
      <c r="R21" s="1"/>
      <c r="S21" s="1"/>
    </row>
    <row r="22" spans="1:19" x14ac:dyDescent="0.25">
      <c r="A22" s="1" t="s">
        <v>15</v>
      </c>
      <c r="B22" s="1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60"/>
      <c r="M22" s="60"/>
      <c r="N22" s="1"/>
      <c r="O22" s="1"/>
      <c r="P22" s="1"/>
      <c r="Q22" s="1"/>
      <c r="R22" s="1"/>
      <c r="S22" s="1"/>
    </row>
    <row r="24" spans="1:19" x14ac:dyDescent="0.25">
      <c r="A24" s="79" t="s">
        <v>25</v>
      </c>
      <c r="B24" s="79"/>
      <c r="C24" t="s">
        <v>26</v>
      </c>
      <c r="F24" s="79"/>
      <c r="G24" s="79">
        <f t="shared" ref="G24:S24" si="2">ROUNDUP((F24*0.5*0.5)/(((F24-1)*(0.1^2))/(1.282^2)+(0.5*0.5)),0)</f>
        <v>0</v>
      </c>
      <c r="H24" s="79">
        <f t="shared" si="2"/>
        <v>0</v>
      </c>
      <c r="I24" s="79">
        <f t="shared" si="2"/>
        <v>0</v>
      </c>
      <c r="J24" s="79">
        <f t="shared" si="2"/>
        <v>0</v>
      </c>
      <c r="K24" s="79">
        <f t="shared" si="2"/>
        <v>0</v>
      </c>
      <c r="L24" s="79">
        <f t="shared" si="2"/>
        <v>0</v>
      </c>
      <c r="M24" s="79">
        <f t="shared" si="2"/>
        <v>0</v>
      </c>
      <c r="N24" s="79">
        <f t="shared" si="2"/>
        <v>0</v>
      </c>
      <c r="O24" s="79">
        <f t="shared" si="2"/>
        <v>0</v>
      </c>
      <c r="P24" s="79">
        <f t="shared" si="2"/>
        <v>0</v>
      </c>
      <c r="Q24" s="79">
        <f t="shared" si="2"/>
        <v>0</v>
      </c>
      <c r="R24" s="79">
        <f t="shared" si="2"/>
        <v>0</v>
      </c>
      <c r="S24" s="79">
        <f t="shared" si="2"/>
        <v>0</v>
      </c>
    </row>
    <row r="25" spans="1:19" x14ac:dyDescent="0.25">
      <c r="A25" s="79" t="s">
        <v>27</v>
      </c>
      <c r="B25" s="79"/>
      <c r="C25" s="79"/>
      <c r="E25">
        <v>55</v>
      </c>
    </row>
    <row r="26" spans="1:19" ht="18.75" x14ac:dyDescent="0.25">
      <c r="A26" s="79" t="s">
        <v>28</v>
      </c>
      <c r="B26" s="79"/>
      <c r="C26" s="79"/>
      <c r="E26">
        <v>0.5</v>
      </c>
      <c r="G26" s="14"/>
    </row>
    <row r="27" spans="1:19" x14ac:dyDescent="0.25">
      <c r="A27" s="79" t="s">
        <v>29</v>
      </c>
      <c r="B27" s="79"/>
      <c r="C27" s="79"/>
      <c r="E27">
        <v>1.6</v>
      </c>
    </row>
    <row r="28" spans="1:19" x14ac:dyDescent="0.25">
      <c r="A28" s="79" t="s">
        <v>30</v>
      </c>
      <c r="B28" s="79"/>
      <c r="C28" s="79"/>
      <c r="E28">
        <v>0.05</v>
      </c>
    </row>
    <row r="30" spans="1:19" x14ac:dyDescent="0.25">
      <c r="B30" t="s">
        <v>31</v>
      </c>
    </row>
  </sheetData>
  <mergeCells count="20">
    <mergeCell ref="G3:I3"/>
    <mergeCell ref="A3:A4"/>
    <mergeCell ref="F3:F4"/>
    <mergeCell ref="A14:S15"/>
    <mergeCell ref="A16:S16"/>
    <mergeCell ref="A5:A6"/>
    <mergeCell ref="A7:A8"/>
    <mergeCell ref="A9:A10"/>
    <mergeCell ref="A11:A12"/>
    <mergeCell ref="C3:E3"/>
    <mergeCell ref="B3:B4"/>
    <mergeCell ref="A25:C25"/>
    <mergeCell ref="A26:C26"/>
    <mergeCell ref="A27:C27"/>
    <mergeCell ref="A28:C28"/>
    <mergeCell ref="L17:M17"/>
    <mergeCell ref="L22:M22"/>
    <mergeCell ref="B21:F21"/>
    <mergeCell ref="A24:B24"/>
    <mergeCell ref="F24:S24"/>
  </mergeCells>
  <pageMargins left="0.70866141732283472" right="0.70866141732283472" top="0.74803149606299213" bottom="0.74803149606299213" header="0.31496062992125984" footer="0.31496062992125984"/>
  <pageSetup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E891-D263-44F2-B204-EFE26DF975D3}">
  <dimension ref="A1:P14"/>
  <sheetViews>
    <sheetView workbookViewId="0">
      <selection activeCell="F16" sqref="F16"/>
    </sheetView>
  </sheetViews>
  <sheetFormatPr baseColWidth="10" defaultRowHeight="15" x14ac:dyDescent="0.25"/>
  <cols>
    <col min="1" max="1" width="5.5703125" bestFit="1" customWidth="1"/>
    <col min="2" max="2" width="6" bestFit="1" customWidth="1"/>
    <col min="3" max="4" width="3.85546875" customWidth="1"/>
    <col min="5" max="5" width="4.42578125" bestFit="1" customWidth="1"/>
    <col min="6" max="6" width="9.7109375" customWidth="1"/>
    <col min="7" max="7" width="3.140625" customWidth="1"/>
    <col min="8" max="8" width="3.42578125" customWidth="1"/>
    <col min="9" max="9" width="6.85546875" customWidth="1"/>
    <col min="10" max="10" width="6.5703125" customWidth="1"/>
    <col min="11" max="11" width="6" customWidth="1"/>
    <col min="12" max="12" width="5.42578125" customWidth="1"/>
    <col min="13" max="13" width="5" customWidth="1"/>
    <col min="14" max="14" width="5.140625" customWidth="1"/>
    <col min="15" max="15" width="5.42578125" customWidth="1"/>
  </cols>
  <sheetData>
    <row r="1" spans="1:16" x14ac:dyDescent="0.25">
      <c r="A1" s="93" t="s">
        <v>45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38"/>
    </row>
    <row r="2" spans="1:16" x14ac:dyDescent="0.25">
      <c r="A2" s="38" t="s">
        <v>37</v>
      </c>
      <c r="B2" s="38"/>
      <c r="C2" s="88" t="s">
        <v>5</v>
      </c>
      <c r="D2" s="88"/>
      <c r="E2" s="8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spans="1:16" x14ac:dyDescent="0.25">
      <c r="A3" s="80" t="s">
        <v>42</v>
      </c>
      <c r="B3" s="82" t="s">
        <v>41</v>
      </c>
      <c r="C3" s="78" t="s">
        <v>40</v>
      </c>
      <c r="D3" s="78"/>
      <c r="E3" s="78"/>
      <c r="F3" s="83" t="s">
        <v>44</v>
      </c>
      <c r="G3" s="85" t="s">
        <v>43</v>
      </c>
      <c r="H3" s="86"/>
      <c r="I3" s="87"/>
      <c r="J3" s="39"/>
      <c r="K3" s="37"/>
      <c r="L3" s="37"/>
      <c r="M3" s="37"/>
      <c r="N3" s="37"/>
      <c r="O3" s="37"/>
      <c r="P3" s="36"/>
    </row>
    <row r="4" spans="1:16" x14ac:dyDescent="0.25">
      <c r="A4" s="81"/>
      <c r="B4" s="82"/>
      <c r="C4" s="37" t="s">
        <v>38</v>
      </c>
      <c r="D4" s="37" t="s">
        <v>49</v>
      </c>
      <c r="E4" s="37" t="s">
        <v>39</v>
      </c>
      <c r="F4" s="84"/>
      <c r="G4" s="41" t="s">
        <v>38</v>
      </c>
      <c r="H4" s="40" t="s">
        <v>49</v>
      </c>
      <c r="I4" s="35"/>
      <c r="K4" s="37"/>
      <c r="L4" s="37"/>
      <c r="M4" s="37"/>
      <c r="N4" s="37"/>
      <c r="O4" s="37"/>
      <c r="P4" s="36"/>
    </row>
    <row r="5" spans="1:16" x14ac:dyDescent="0.25">
      <c r="A5" s="78">
        <v>2022</v>
      </c>
      <c r="B5" s="37" t="s">
        <v>23</v>
      </c>
      <c r="C5" s="37">
        <v>12</v>
      </c>
      <c r="D5" s="37">
        <v>0</v>
      </c>
      <c r="E5" s="37">
        <f>C5+D5</f>
        <v>12</v>
      </c>
      <c r="F5" s="37">
        <f>ROUNDUP((E5*0.5*0.5)/(((E5-1)*(0.05^2))/(1.282^2)+(0.5*0.5)),0)</f>
        <v>12</v>
      </c>
      <c r="G5" s="37"/>
      <c r="H5" s="37"/>
      <c r="I5" s="37"/>
      <c r="J5" s="37"/>
      <c r="K5" s="37"/>
      <c r="L5" s="37"/>
      <c r="M5" s="37"/>
      <c r="N5" s="37"/>
      <c r="O5" s="37"/>
      <c r="P5" s="36"/>
    </row>
    <row r="6" spans="1:16" x14ac:dyDescent="0.25">
      <c r="A6" s="78"/>
      <c r="B6" s="37" t="s">
        <v>24</v>
      </c>
      <c r="C6" s="37">
        <v>13</v>
      </c>
      <c r="D6" s="37">
        <v>2</v>
      </c>
      <c r="E6" s="37">
        <f t="shared" ref="E6:E12" si="0">C6+D6</f>
        <v>15</v>
      </c>
      <c r="F6" s="37">
        <f t="shared" ref="F6:F12" si="1">ROUNDUP((E6*0.5*0.5)/(((E6-1)*(0.05^2))/(1.282^2)+(0.5*0.5)),0)</f>
        <v>14</v>
      </c>
      <c r="G6" s="37"/>
      <c r="H6" s="37"/>
      <c r="I6" s="37"/>
      <c r="J6" s="37"/>
      <c r="K6" s="37"/>
      <c r="L6" s="37"/>
      <c r="M6" s="37"/>
      <c r="N6" s="37"/>
      <c r="O6" s="37"/>
      <c r="P6" s="36"/>
    </row>
    <row r="7" spans="1:16" x14ac:dyDescent="0.25">
      <c r="A7" s="78">
        <v>2023</v>
      </c>
      <c r="B7" s="37" t="s">
        <v>23</v>
      </c>
      <c r="C7" s="37">
        <v>21</v>
      </c>
      <c r="D7" s="37">
        <v>2</v>
      </c>
      <c r="E7" s="37">
        <f t="shared" si="0"/>
        <v>23</v>
      </c>
      <c r="F7" s="37">
        <f t="shared" si="1"/>
        <v>21</v>
      </c>
      <c r="G7" s="37"/>
      <c r="H7" s="37"/>
      <c r="I7" s="37"/>
      <c r="J7" s="37"/>
      <c r="K7" s="37"/>
      <c r="L7" s="37"/>
      <c r="M7" s="37"/>
      <c r="N7" s="37"/>
      <c r="O7" s="37"/>
      <c r="P7" s="36"/>
    </row>
    <row r="8" spans="1:16" x14ac:dyDescent="0.25">
      <c r="A8" s="78"/>
      <c r="B8" s="37" t="s">
        <v>24</v>
      </c>
      <c r="C8" s="37">
        <v>11</v>
      </c>
      <c r="D8" s="37">
        <v>1</v>
      </c>
      <c r="E8" s="37">
        <f t="shared" si="0"/>
        <v>12</v>
      </c>
      <c r="F8" s="37">
        <f t="shared" si="1"/>
        <v>12</v>
      </c>
      <c r="G8" s="37"/>
      <c r="H8" s="37"/>
      <c r="I8" s="37"/>
      <c r="J8" s="37"/>
      <c r="K8" s="37"/>
      <c r="L8" s="37"/>
      <c r="M8" s="37"/>
      <c r="N8" s="37"/>
      <c r="O8" s="37"/>
      <c r="P8" s="36"/>
    </row>
    <row r="9" spans="1:16" x14ac:dyDescent="0.25">
      <c r="A9" s="78">
        <v>2024</v>
      </c>
      <c r="B9" s="37" t="s">
        <v>23</v>
      </c>
      <c r="C9" s="37">
        <v>8</v>
      </c>
      <c r="D9" s="37">
        <v>1</v>
      </c>
      <c r="E9" s="37">
        <f t="shared" si="0"/>
        <v>9</v>
      </c>
      <c r="F9" s="37">
        <f t="shared" si="1"/>
        <v>9</v>
      </c>
      <c r="G9" s="37"/>
      <c r="H9" s="37"/>
      <c r="I9" s="37"/>
      <c r="J9" s="37"/>
      <c r="K9" s="37"/>
      <c r="L9" s="37"/>
      <c r="M9" s="37"/>
      <c r="N9" s="37"/>
      <c r="O9" s="37"/>
      <c r="P9" s="36"/>
    </row>
    <row r="10" spans="1:16" x14ac:dyDescent="0.25">
      <c r="A10" s="78"/>
      <c r="B10" s="37" t="s">
        <v>24</v>
      </c>
      <c r="C10" s="37">
        <v>10</v>
      </c>
      <c r="D10" s="37">
        <v>7</v>
      </c>
      <c r="E10" s="37">
        <f t="shared" si="0"/>
        <v>17</v>
      </c>
      <c r="F10" s="37">
        <f t="shared" si="1"/>
        <v>16</v>
      </c>
      <c r="G10" s="37"/>
      <c r="H10" s="37"/>
      <c r="I10" s="37"/>
      <c r="J10" s="37"/>
      <c r="K10" s="37"/>
      <c r="L10" s="37"/>
      <c r="M10" s="37"/>
      <c r="N10" s="37"/>
      <c r="O10" s="37"/>
      <c r="P10" s="36"/>
    </row>
    <row r="11" spans="1:16" x14ac:dyDescent="0.25">
      <c r="A11" s="78">
        <v>2025</v>
      </c>
      <c r="B11" s="37" t="s">
        <v>23</v>
      </c>
      <c r="C11" s="37">
        <v>15</v>
      </c>
      <c r="D11" s="37">
        <v>2</v>
      </c>
      <c r="E11" s="37">
        <f t="shared" si="0"/>
        <v>17</v>
      </c>
      <c r="F11" s="37">
        <f t="shared" si="1"/>
        <v>16</v>
      </c>
      <c r="G11" s="37"/>
      <c r="H11" s="37"/>
      <c r="I11" s="37"/>
      <c r="J11" s="37"/>
      <c r="K11" s="37"/>
      <c r="L11" s="37"/>
      <c r="M11" s="37"/>
      <c r="N11" s="37"/>
      <c r="O11" s="37"/>
      <c r="P11" s="36"/>
    </row>
    <row r="12" spans="1:16" x14ac:dyDescent="0.25">
      <c r="A12" s="78"/>
      <c r="B12" s="37" t="s">
        <v>24</v>
      </c>
      <c r="C12" s="37"/>
      <c r="D12" s="37"/>
      <c r="E12" s="37">
        <f t="shared" si="0"/>
        <v>0</v>
      </c>
      <c r="F12" s="37">
        <f t="shared" si="1"/>
        <v>0</v>
      </c>
      <c r="G12" s="37"/>
      <c r="H12" s="37"/>
      <c r="I12" s="37"/>
      <c r="J12" s="37"/>
      <c r="K12" s="37"/>
      <c r="L12" s="37"/>
      <c r="M12" s="37"/>
      <c r="N12" s="37"/>
      <c r="O12" s="37"/>
      <c r="P12" s="36"/>
    </row>
    <row r="13" spans="1:16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6"/>
    </row>
    <row r="14" spans="1:16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</sheetData>
  <mergeCells count="11">
    <mergeCell ref="A7:A8"/>
    <mergeCell ref="A9:A10"/>
    <mergeCell ref="A11:A12"/>
    <mergeCell ref="A1:O1"/>
    <mergeCell ref="C2:E2"/>
    <mergeCell ref="A3:A4"/>
    <mergeCell ref="B3:B4"/>
    <mergeCell ref="C3:E3"/>
    <mergeCell ref="F3:F4"/>
    <mergeCell ref="G3:I3"/>
    <mergeCell ref="A5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4195-57EF-497D-B7CC-FFD718400402}">
  <dimension ref="A1:L13"/>
  <sheetViews>
    <sheetView workbookViewId="0">
      <selection activeCell="H17" sqref="H17"/>
    </sheetView>
  </sheetViews>
  <sheetFormatPr baseColWidth="10" defaultRowHeight="15" x14ac:dyDescent="0.25"/>
  <cols>
    <col min="1" max="1" width="5.5703125" bestFit="1" customWidth="1"/>
    <col min="2" max="2" width="6" bestFit="1" customWidth="1"/>
    <col min="3" max="3" width="4.5703125" customWidth="1"/>
    <col min="4" max="4" width="4.42578125" customWidth="1"/>
    <col min="5" max="5" width="4.42578125" bestFit="1" customWidth="1"/>
    <col min="6" max="6" width="9.7109375" customWidth="1"/>
    <col min="7" max="7" width="3.140625" customWidth="1"/>
    <col min="8" max="8" width="3.42578125" customWidth="1"/>
    <col min="9" max="9" width="6.85546875" customWidth="1"/>
    <col min="10" max="10" width="6.5703125" customWidth="1"/>
    <col min="11" max="11" width="6" customWidth="1"/>
    <col min="12" max="12" width="5.42578125" customWidth="1"/>
  </cols>
  <sheetData>
    <row r="1" spans="1:12" x14ac:dyDescent="0.25">
      <c r="A1" s="93" t="s">
        <v>45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x14ac:dyDescent="0.25">
      <c r="A2" s="38" t="s">
        <v>37</v>
      </c>
      <c r="B2" s="38"/>
      <c r="C2" s="88" t="s">
        <v>3</v>
      </c>
      <c r="D2" s="88"/>
      <c r="E2" s="88"/>
      <c r="F2" s="38"/>
      <c r="G2" s="38"/>
      <c r="H2" s="38"/>
      <c r="I2" s="38"/>
      <c r="J2" s="38"/>
      <c r="K2" s="38"/>
      <c r="L2" s="38"/>
    </row>
    <row r="3" spans="1:12" x14ac:dyDescent="0.25">
      <c r="A3" s="80" t="s">
        <v>42</v>
      </c>
      <c r="B3" s="82" t="s">
        <v>41</v>
      </c>
      <c r="C3" s="78" t="s">
        <v>40</v>
      </c>
      <c r="D3" s="78"/>
      <c r="E3" s="78"/>
      <c r="F3" s="83" t="s">
        <v>44</v>
      </c>
      <c r="G3" s="85" t="s">
        <v>43</v>
      </c>
      <c r="H3" s="86"/>
      <c r="I3" s="87"/>
      <c r="J3" s="39"/>
      <c r="K3" s="37"/>
      <c r="L3" s="37"/>
    </row>
    <row r="4" spans="1:12" x14ac:dyDescent="0.25">
      <c r="A4" s="81"/>
      <c r="B4" s="82"/>
      <c r="C4" s="37" t="s">
        <v>38</v>
      </c>
      <c r="D4" s="37" t="s">
        <v>49</v>
      </c>
      <c r="E4" s="37" t="s">
        <v>39</v>
      </c>
      <c r="F4" s="84"/>
      <c r="G4" s="41" t="s">
        <v>38</v>
      </c>
      <c r="H4" s="40" t="s">
        <v>49</v>
      </c>
      <c r="I4" s="35"/>
      <c r="K4" s="37"/>
      <c r="L4" s="37"/>
    </row>
    <row r="5" spans="1:12" x14ac:dyDescent="0.25">
      <c r="A5" s="78">
        <v>2022</v>
      </c>
      <c r="B5" s="37" t="s">
        <v>23</v>
      </c>
      <c r="C5" s="37">
        <v>8</v>
      </c>
      <c r="D5" s="37">
        <v>4</v>
      </c>
      <c r="E5" s="37">
        <f>C5+D5</f>
        <v>12</v>
      </c>
      <c r="F5" s="37">
        <f>ROUNDUP((E5*0.5*0.5)/(((E5-1)*(0.05^2))/(1.282^2)+(0.5*0.5)),0)</f>
        <v>12</v>
      </c>
      <c r="G5" s="37"/>
      <c r="H5" s="37"/>
      <c r="I5" s="37"/>
      <c r="J5" s="37"/>
      <c r="K5" s="37"/>
      <c r="L5" s="37"/>
    </row>
    <row r="6" spans="1:12" x14ac:dyDescent="0.25">
      <c r="A6" s="78"/>
      <c r="B6" s="37" t="s">
        <v>24</v>
      </c>
      <c r="C6" s="37">
        <v>9</v>
      </c>
      <c r="D6" s="37">
        <v>2</v>
      </c>
      <c r="E6" s="37">
        <f t="shared" ref="E6:E12" si="0">C6+D6</f>
        <v>11</v>
      </c>
      <c r="F6" s="37">
        <f t="shared" ref="F6:F12" si="1">ROUNDUP((E6*0.5*0.5)/(((E6-1)*(0.05^2))/(1.282^2)+(0.5*0.5)),0)</f>
        <v>11</v>
      </c>
      <c r="G6" s="37"/>
      <c r="H6" s="37"/>
      <c r="I6" s="37"/>
      <c r="J6" s="37"/>
      <c r="K6" s="37"/>
      <c r="L6" s="37"/>
    </row>
    <row r="7" spans="1:12" x14ac:dyDescent="0.25">
      <c r="A7" s="78">
        <v>2023</v>
      </c>
      <c r="B7" s="37" t="s">
        <v>23</v>
      </c>
      <c r="C7" s="37">
        <v>13</v>
      </c>
      <c r="D7" s="37">
        <v>0</v>
      </c>
      <c r="E7" s="37">
        <f t="shared" si="0"/>
        <v>13</v>
      </c>
      <c r="F7" s="37">
        <f t="shared" si="1"/>
        <v>13</v>
      </c>
      <c r="G7" s="37"/>
      <c r="H7" s="37"/>
      <c r="I7" s="37"/>
      <c r="J7" s="37"/>
      <c r="K7" s="37"/>
      <c r="L7" s="37"/>
    </row>
    <row r="8" spans="1:12" x14ac:dyDescent="0.25">
      <c r="A8" s="78"/>
      <c r="B8" s="37" t="s">
        <v>24</v>
      </c>
      <c r="C8" s="37">
        <v>10</v>
      </c>
      <c r="D8" s="37">
        <v>3</v>
      </c>
      <c r="E8" s="37">
        <f t="shared" si="0"/>
        <v>13</v>
      </c>
      <c r="F8" s="37">
        <f t="shared" si="1"/>
        <v>13</v>
      </c>
      <c r="G8" s="37"/>
      <c r="H8" s="37"/>
      <c r="I8" s="37"/>
      <c r="J8" s="37"/>
      <c r="K8" s="37"/>
      <c r="L8" s="37"/>
    </row>
    <row r="9" spans="1:12" x14ac:dyDescent="0.25">
      <c r="A9" s="78">
        <v>2024</v>
      </c>
      <c r="B9" s="37" t="s">
        <v>23</v>
      </c>
      <c r="C9" s="37">
        <v>6</v>
      </c>
      <c r="D9" s="37">
        <v>3</v>
      </c>
      <c r="E9" s="37">
        <f t="shared" si="0"/>
        <v>9</v>
      </c>
      <c r="F9" s="37">
        <f t="shared" si="1"/>
        <v>9</v>
      </c>
      <c r="G9" s="37"/>
      <c r="H9" s="37"/>
      <c r="I9" s="37"/>
      <c r="J9" s="37"/>
      <c r="K9" s="37"/>
      <c r="L9" s="37"/>
    </row>
    <row r="10" spans="1:12" x14ac:dyDescent="0.25">
      <c r="A10" s="78"/>
      <c r="B10" s="37" t="s">
        <v>24</v>
      </c>
      <c r="C10" s="37">
        <v>14</v>
      </c>
      <c r="D10" s="37">
        <v>2</v>
      </c>
      <c r="E10" s="37">
        <f t="shared" si="0"/>
        <v>16</v>
      </c>
      <c r="F10" s="37">
        <f t="shared" si="1"/>
        <v>15</v>
      </c>
      <c r="G10" s="37"/>
      <c r="H10" s="37"/>
      <c r="I10" s="37"/>
      <c r="J10" s="37"/>
      <c r="K10" s="37"/>
      <c r="L10" s="37"/>
    </row>
    <row r="11" spans="1:12" x14ac:dyDescent="0.25">
      <c r="A11" s="78">
        <v>2025</v>
      </c>
      <c r="B11" s="37" t="s">
        <v>23</v>
      </c>
      <c r="C11" s="37">
        <v>16</v>
      </c>
      <c r="D11" s="37">
        <v>0</v>
      </c>
      <c r="E11" s="37">
        <f t="shared" si="0"/>
        <v>16</v>
      </c>
      <c r="F11" s="37">
        <f t="shared" si="1"/>
        <v>15</v>
      </c>
      <c r="G11" s="37"/>
      <c r="H11" s="37"/>
      <c r="I11" s="37"/>
      <c r="J11" s="37"/>
      <c r="K11" s="37"/>
      <c r="L11" s="37"/>
    </row>
    <row r="12" spans="1:12" x14ac:dyDescent="0.25">
      <c r="A12" s="78"/>
      <c r="B12" s="37" t="s">
        <v>24</v>
      </c>
      <c r="C12" s="37"/>
      <c r="D12" s="37"/>
      <c r="E12" s="37">
        <f t="shared" si="0"/>
        <v>0</v>
      </c>
      <c r="F12" s="37">
        <f t="shared" si="1"/>
        <v>0</v>
      </c>
      <c r="G12" s="37"/>
      <c r="H12" s="37"/>
      <c r="I12" s="37"/>
      <c r="J12" s="37"/>
      <c r="K12" s="37"/>
      <c r="L12" s="37"/>
    </row>
    <row r="13" spans="1:12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</row>
  </sheetData>
  <mergeCells count="11">
    <mergeCell ref="A9:A10"/>
    <mergeCell ref="A11:A12"/>
    <mergeCell ref="A1:L1"/>
    <mergeCell ref="C2:E2"/>
    <mergeCell ref="A3:A4"/>
    <mergeCell ref="B3:B4"/>
    <mergeCell ref="C3:E3"/>
    <mergeCell ref="F3:F4"/>
    <mergeCell ref="G3:I3"/>
    <mergeCell ref="A5:A6"/>
    <mergeCell ref="A7:A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AC8E-90A9-4F60-8820-336A80525213}">
  <dimension ref="A1:O13"/>
  <sheetViews>
    <sheetView workbookViewId="0">
      <selection activeCell="G16" sqref="G16"/>
    </sheetView>
  </sheetViews>
  <sheetFormatPr baseColWidth="10" defaultRowHeight="15" x14ac:dyDescent="0.25"/>
  <cols>
    <col min="1" max="1" width="5.5703125" bestFit="1" customWidth="1"/>
    <col min="2" max="2" width="6" bestFit="1" customWidth="1"/>
    <col min="3" max="4" width="3.85546875" customWidth="1"/>
    <col min="5" max="5" width="4.42578125" bestFit="1" customWidth="1"/>
    <col min="6" max="6" width="9.7109375" customWidth="1"/>
    <col min="7" max="7" width="3.140625" customWidth="1"/>
    <col min="8" max="8" width="3.42578125" customWidth="1"/>
    <col min="9" max="9" width="6.85546875" customWidth="1"/>
    <col min="10" max="10" width="6.5703125" customWidth="1"/>
    <col min="11" max="11" width="6" customWidth="1"/>
    <col min="12" max="12" width="5.42578125" customWidth="1"/>
    <col min="13" max="13" width="5" customWidth="1"/>
    <col min="14" max="14" width="5.140625" customWidth="1"/>
    <col min="15" max="15" width="5.42578125" customWidth="1"/>
  </cols>
  <sheetData>
    <row r="1" spans="1:15" x14ac:dyDescent="0.25">
      <c r="A1" s="93" t="s">
        <v>45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x14ac:dyDescent="0.25">
      <c r="A2" s="38" t="s">
        <v>37</v>
      </c>
      <c r="B2" s="38"/>
      <c r="C2" s="42" t="s">
        <v>46</v>
      </c>
      <c r="D2" s="42"/>
      <c r="E2" s="42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x14ac:dyDescent="0.25">
      <c r="A3" s="80" t="s">
        <v>42</v>
      </c>
      <c r="B3" s="82" t="s">
        <v>41</v>
      </c>
      <c r="C3" s="78" t="s">
        <v>40</v>
      </c>
      <c r="D3" s="78"/>
      <c r="E3" s="78"/>
      <c r="F3" s="83" t="s">
        <v>44</v>
      </c>
      <c r="G3" s="85" t="s">
        <v>43</v>
      </c>
      <c r="H3" s="86"/>
      <c r="I3" s="87"/>
      <c r="J3" s="39"/>
      <c r="K3" s="37"/>
      <c r="L3" s="37"/>
      <c r="M3" s="37"/>
      <c r="N3" s="37"/>
      <c r="O3" s="37"/>
    </row>
    <row r="4" spans="1:15" x14ac:dyDescent="0.25">
      <c r="A4" s="81"/>
      <c r="B4" s="82"/>
      <c r="C4" s="37" t="s">
        <v>38</v>
      </c>
      <c r="D4" s="37" t="s">
        <v>49</v>
      </c>
      <c r="E4" s="37" t="s">
        <v>39</v>
      </c>
      <c r="F4" s="84"/>
      <c r="G4" s="41" t="s">
        <v>38</v>
      </c>
      <c r="H4" s="40" t="s">
        <v>49</v>
      </c>
      <c r="I4" s="35"/>
      <c r="K4" s="37"/>
      <c r="L4" s="37"/>
      <c r="M4" s="37"/>
      <c r="N4" s="37"/>
      <c r="O4" s="37"/>
    </row>
    <row r="5" spans="1:15" x14ac:dyDescent="0.25">
      <c r="A5" s="78">
        <v>2022</v>
      </c>
      <c r="B5" s="37" t="s">
        <v>23</v>
      </c>
      <c r="C5" s="37">
        <v>11</v>
      </c>
      <c r="D5" s="37">
        <v>25</v>
      </c>
      <c r="E5" s="37">
        <f>C5+D5</f>
        <v>36</v>
      </c>
      <c r="F5" s="37">
        <f>ROUNDUP((E5*0.5*0.5)/(((E5-1)*(0.05^2))/(1.282^2)+(0.5*0.5)),0)</f>
        <v>30</v>
      </c>
      <c r="G5" s="37"/>
      <c r="H5" s="37"/>
      <c r="I5" s="37"/>
      <c r="J5" s="37"/>
      <c r="K5" s="37"/>
      <c r="L5" s="37"/>
      <c r="M5" s="37"/>
      <c r="N5" s="37"/>
      <c r="O5" s="37"/>
    </row>
    <row r="6" spans="1:15" x14ac:dyDescent="0.25">
      <c r="A6" s="78"/>
      <c r="B6" s="37" t="s">
        <v>24</v>
      </c>
      <c r="C6" s="37">
        <v>16</v>
      </c>
      <c r="D6" s="37">
        <v>39</v>
      </c>
      <c r="E6" s="37">
        <f t="shared" ref="E6:E12" si="0">C6+D6</f>
        <v>55</v>
      </c>
      <c r="F6" s="37">
        <f t="shared" ref="F6:F12" si="1">ROUNDUP((E6*0.5*0.5)/(((E6-1)*(0.05^2))/(1.282^2)+(0.5*0.5)),0)</f>
        <v>42</v>
      </c>
      <c r="G6" s="37"/>
      <c r="H6" s="37"/>
      <c r="I6" s="37"/>
      <c r="J6" s="37"/>
      <c r="K6" s="37"/>
      <c r="L6" s="37"/>
      <c r="M6" s="37"/>
      <c r="N6" s="37"/>
      <c r="O6" s="37"/>
    </row>
    <row r="7" spans="1:15" x14ac:dyDescent="0.25">
      <c r="A7" s="78">
        <v>2023</v>
      </c>
      <c r="B7" s="37" t="s">
        <v>23</v>
      </c>
      <c r="C7" s="37">
        <v>13</v>
      </c>
      <c r="D7" s="37">
        <v>50</v>
      </c>
      <c r="E7" s="37">
        <f t="shared" si="0"/>
        <v>63</v>
      </c>
      <c r="F7" s="37">
        <f t="shared" si="1"/>
        <v>46</v>
      </c>
      <c r="G7" s="37"/>
      <c r="H7" s="37"/>
      <c r="I7" s="37"/>
      <c r="J7" s="37"/>
      <c r="K7" s="37"/>
      <c r="L7" s="37"/>
      <c r="M7" s="37"/>
      <c r="N7" s="37"/>
      <c r="O7" s="37"/>
    </row>
    <row r="8" spans="1:15" x14ac:dyDescent="0.25">
      <c r="A8" s="78"/>
      <c r="B8" s="37" t="s">
        <v>24</v>
      </c>
      <c r="C8" s="37">
        <v>27</v>
      </c>
      <c r="D8" s="37">
        <v>48</v>
      </c>
      <c r="E8" s="37">
        <f t="shared" si="0"/>
        <v>75</v>
      </c>
      <c r="F8" s="37">
        <f t="shared" si="1"/>
        <v>52</v>
      </c>
      <c r="G8" s="37"/>
      <c r="H8" s="37"/>
      <c r="I8" s="37"/>
      <c r="J8" s="37"/>
      <c r="K8" s="37"/>
      <c r="L8" s="37"/>
      <c r="M8" s="37"/>
      <c r="N8" s="37"/>
      <c r="O8" s="37"/>
    </row>
    <row r="9" spans="1:15" x14ac:dyDescent="0.25">
      <c r="A9" s="78">
        <v>2024</v>
      </c>
      <c r="B9" s="37" t="s">
        <v>23</v>
      </c>
      <c r="C9" s="37">
        <v>10</v>
      </c>
      <c r="D9" s="37">
        <v>43</v>
      </c>
      <c r="E9" s="37">
        <f t="shared" si="0"/>
        <v>53</v>
      </c>
      <c r="F9" s="37">
        <f t="shared" si="1"/>
        <v>41</v>
      </c>
      <c r="G9" s="37"/>
      <c r="H9" s="37"/>
      <c r="I9" s="37"/>
      <c r="J9" s="37"/>
      <c r="K9" s="37"/>
      <c r="L9" s="37"/>
      <c r="M9" s="37"/>
      <c r="N9" s="37"/>
      <c r="O9" s="37"/>
    </row>
    <row r="10" spans="1:15" x14ac:dyDescent="0.25">
      <c r="A10" s="78"/>
      <c r="B10" s="37" t="s">
        <v>24</v>
      </c>
      <c r="C10" s="37">
        <v>12</v>
      </c>
      <c r="D10" s="37">
        <v>33</v>
      </c>
      <c r="E10" s="37">
        <f t="shared" si="0"/>
        <v>45</v>
      </c>
      <c r="F10" s="37">
        <f t="shared" si="1"/>
        <v>36</v>
      </c>
      <c r="G10" s="37"/>
      <c r="H10" s="37"/>
      <c r="I10" s="37"/>
      <c r="J10" s="37"/>
      <c r="K10" s="37"/>
      <c r="L10" s="37"/>
      <c r="M10" s="37"/>
      <c r="N10" s="37"/>
      <c r="O10" s="37"/>
    </row>
    <row r="11" spans="1:15" x14ac:dyDescent="0.25">
      <c r="A11" s="78">
        <v>2025</v>
      </c>
      <c r="B11" s="37" t="s">
        <v>23</v>
      </c>
      <c r="C11" s="37">
        <v>17</v>
      </c>
      <c r="D11" s="37">
        <v>26</v>
      </c>
      <c r="E11" s="37">
        <f t="shared" si="0"/>
        <v>43</v>
      </c>
      <c r="F11" s="37">
        <f t="shared" si="1"/>
        <v>35</v>
      </c>
      <c r="G11" s="37"/>
      <c r="H11" s="37"/>
      <c r="I11" s="37"/>
      <c r="J11" s="37"/>
      <c r="K11" s="37"/>
      <c r="L11" s="37"/>
      <c r="M11" s="37"/>
      <c r="N11" s="37"/>
      <c r="O11" s="37"/>
    </row>
    <row r="12" spans="1:15" x14ac:dyDescent="0.25">
      <c r="A12" s="78"/>
      <c r="B12" s="37" t="s">
        <v>24</v>
      </c>
      <c r="C12" s="37"/>
      <c r="D12" s="37"/>
      <c r="E12" s="37">
        <f t="shared" si="0"/>
        <v>0</v>
      </c>
      <c r="F12" s="37">
        <f t="shared" si="1"/>
        <v>0</v>
      </c>
      <c r="G12" s="37"/>
      <c r="H12" s="37"/>
      <c r="I12" s="37"/>
      <c r="J12" s="37"/>
      <c r="K12" s="37"/>
      <c r="L12" s="37"/>
      <c r="M12" s="37"/>
      <c r="N12" s="37"/>
      <c r="O12" s="37"/>
    </row>
    <row r="13" spans="1:1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</row>
  </sheetData>
  <mergeCells count="10">
    <mergeCell ref="A9:A10"/>
    <mergeCell ref="A11:A12"/>
    <mergeCell ref="A1:O1"/>
    <mergeCell ref="A3:A4"/>
    <mergeCell ref="B3:B4"/>
    <mergeCell ref="C3:E3"/>
    <mergeCell ref="F3:F4"/>
    <mergeCell ref="G3:I3"/>
    <mergeCell ref="A5:A6"/>
    <mergeCell ref="A7:A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5C9C-6E1F-4AB8-A6EF-AF3349D26CDC}">
  <dimension ref="A1:O13"/>
  <sheetViews>
    <sheetView workbookViewId="0">
      <selection activeCell="J19" sqref="J19"/>
    </sheetView>
  </sheetViews>
  <sheetFormatPr baseColWidth="10" defaultRowHeight="15" x14ac:dyDescent="0.25"/>
  <cols>
    <col min="1" max="1" width="5.5703125" bestFit="1" customWidth="1"/>
    <col min="2" max="2" width="6" bestFit="1" customWidth="1"/>
    <col min="3" max="4" width="3.85546875" customWidth="1"/>
    <col min="5" max="5" width="4.42578125" bestFit="1" customWidth="1"/>
    <col min="6" max="6" width="9.7109375" customWidth="1"/>
    <col min="7" max="7" width="3.140625" customWidth="1"/>
    <col min="8" max="8" width="3.42578125" customWidth="1"/>
    <col min="9" max="9" width="6.85546875" customWidth="1"/>
    <col min="10" max="10" width="6.5703125" customWidth="1"/>
    <col min="11" max="11" width="6" customWidth="1"/>
    <col min="12" max="12" width="5.42578125" customWidth="1"/>
    <col min="13" max="13" width="5" customWidth="1"/>
    <col min="14" max="14" width="5.140625" customWidth="1"/>
    <col min="15" max="15" width="5.42578125" customWidth="1"/>
  </cols>
  <sheetData>
    <row r="1" spans="1:15" x14ac:dyDescent="0.25">
      <c r="A1" s="93" t="s">
        <v>45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x14ac:dyDescent="0.25">
      <c r="A2" s="38" t="s">
        <v>37</v>
      </c>
      <c r="B2" s="38"/>
      <c r="C2" s="88" t="s">
        <v>0</v>
      </c>
      <c r="D2" s="88"/>
      <c r="E2" s="8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x14ac:dyDescent="0.25">
      <c r="A3" s="80" t="s">
        <v>42</v>
      </c>
      <c r="B3" s="82" t="s">
        <v>41</v>
      </c>
      <c r="C3" s="78" t="s">
        <v>40</v>
      </c>
      <c r="D3" s="78"/>
      <c r="E3" s="78"/>
      <c r="F3" s="83" t="s">
        <v>44</v>
      </c>
      <c r="G3" s="85" t="s">
        <v>43</v>
      </c>
      <c r="H3" s="86"/>
      <c r="I3" s="87"/>
      <c r="J3" s="39"/>
      <c r="K3" s="37"/>
      <c r="L3" s="37"/>
      <c r="M3" s="37"/>
      <c r="N3" s="37"/>
      <c r="O3" s="37"/>
    </row>
    <row r="4" spans="1:15" x14ac:dyDescent="0.25">
      <c r="A4" s="81"/>
      <c r="B4" s="82"/>
      <c r="C4" s="37" t="s">
        <v>38</v>
      </c>
      <c r="D4" s="37" t="s">
        <v>49</v>
      </c>
      <c r="E4" s="37" t="s">
        <v>39</v>
      </c>
      <c r="F4" s="84"/>
      <c r="G4" s="41" t="s">
        <v>38</v>
      </c>
      <c r="H4" s="40" t="s">
        <v>49</v>
      </c>
      <c r="I4" s="35"/>
      <c r="K4" s="37"/>
      <c r="L4" s="37"/>
      <c r="M4" s="37"/>
      <c r="N4" s="37"/>
      <c r="O4" s="37"/>
    </row>
    <row r="5" spans="1:15" x14ac:dyDescent="0.25">
      <c r="A5" s="78">
        <v>2022</v>
      </c>
      <c r="B5" s="37" t="s">
        <v>23</v>
      </c>
      <c r="C5" s="37">
        <v>96</v>
      </c>
      <c r="D5" s="37">
        <v>58</v>
      </c>
      <c r="E5" s="37">
        <f>C5+D5</f>
        <v>154</v>
      </c>
      <c r="F5" s="37">
        <f>ROUNDUP((E5*0.5*0.5)/(((E5-1)*(0.05^2))/(1.282^2)+(0.5*0.5)),0)</f>
        <v>80</v>
      </c>
      <c r="G5" s="37"/>
      <c r="H5" s="37"/>
      <c r="I5" s="37"/>
      <c r="J5" s="37"/>
      <c r="K5" s="37"/>
      <c r="L5" s="37"/>
      <c r="M5" s="37"/>
      <c r="N5" s="37"/>
      <c r="O5" s="37"/>
    </row>
    <row r="6" spans="1:15" x14ac:dyDescent="0.25">
      <c r="A6" s="78"/>
      <c r="B6" s="37" t="s">
        <v>24</v>
      </c>
      <c r="C6" s="37">
        <v>58</v>
      </c>
      <c r="D6" s="37">
        <v>33</v>
      </c>
      <c r="E6" s="37">
        <f t="shared" ref="E6:E12" si="0">C6+D6</f>
        <v>91</v>
      </c>
      <c r="F6" s="37">
        <f t="shared" ref="F6:F12" si="1">ROUNDUP((E6*0.5*0.5)/(((E6-1)*(0.05^2))/(1.282^2)+(0.5*0.5)),0)</f>
        <v>59</v>
      </c>
      <c r="G6" s="37"/>
      <c r="H6" s="37"/>
      <c r="I6" s="37"/>
      <c r="J6" s="37"/>
      <c r="K6" s="37"/>
      <c r="L6" s="37"/>
      <c r="M6" s="37"/>
      <c r="N6" s="37"/>
      <c r="O6" s="37"/>
    </row>
    <row r="7" spans="1:15" x14ac:dyDescent="0.25">
      <c r="A7" s="78">
        <v>2023</v>
      </c>
      <c r="B7" s="37" t="s">
        <v>23</v>
      </c>
      <c r="C7" s="37">
        <v>101</v>
      </c>
      <c r="D7" s="37">
        <v>92</v>
      </c>
      <c r="E7" s="37">
        <f t="shared" si="0"/>
        <v>193</v>
      </c>
      <c r="F7" s="37">
        <f t="shared" si="1"/>
        <v>90</v>
      </c>
      <c r="G7" s="37"/>
      <c r="H7" s="37"/>
      <c r="I7" s="37"/>
      <c r="J7" s="37"/>
      <c r="K7" s="37"/>
      <c r="L7" s="37"/>
      <c r="M7" s="37"/>
      <c r="N7" s="37"/>
      <c r="O7" s="37"/>
    </row>
    <row r="8" spans="1:15" x14ac:dyDescent="0.25">
      <c r="A8" s="78"/>
      <c r="B8" s="37" t="s">
        <v>24</v>
      </c>
      <c r="C8" s="37">
        <v>58</v>
      </c>
      <c r="D8" s="37">
        <v>30</v>
      </c>
      <c r="E8" s="37">
        <f t="shared" si="0"/>
        <v>88</v>
      </c>
      <c r="F8" s="37">
        <f t="shared" si="1"/>
        <v>58</v>
      </c>
      <c r="G8" s="37"/>
      <c r="H8" s="37"/>
      <c r="I8" s="37"/>
      <c r="J8" s="37"/>
      <c r="K8" s="37"/>
      <c r="L8" s="37"/>
      <c r="M8" s="37"/>
      <c r="N8" s="37"/>
      <c r="O8" s="37"/>
    </row>
    <row r="9" spans="1:15" x14ac:dyDescent="0.25">
      <c r="A9" s="78">
        <v>2024</v>
      </c>
      <c r="B9" s="37" t="s">
        <v>23</v>
      </c>
      <c r="C9" s="37">
        <v>76</v>
      </c>
      <c r="D9" s="37">
        <v>72</v>
      </c>
      <c r="E9" s="37">
        <f t="shared" si="0"/>
        <v>148</v>
      </c>
      <c r="F9" s="37">
        <f t="shared" si="1"/>
        <v>79</v>
      </c>
      <c r="G9" s="37"/>
      <c r="H9" s="37"/>
      <c r="I9" s="37"/>
      <c r="J9" s="37"/>
      <c r="K9" s="37"/>
      <c r="L9" s="37"/>
      <c r="M9" s="37"/>
      <c r="N9" s="37"/>
      <c r="O9" s="37"/>
    </row>
    <row r="10" spans="1:15" x14ac:dyDescent="0.25">
      <c r="A10" s="78"/>
      <c r="B10" s="37" t="s">
        <v>24</v>
      </c>
      <c r="C10" s="37">
        <v>48</v>
      </c>
      <c r="D10" s="37">
        <v>29</v>
      </c>
      <c r="E10" s="37">
        <f t="shared" si="0"/>
        <v>77</v>
      </c>
      <c r="F10" s="37">
        <f t="shared" si="1"/>
        <v>53</v>
      </c>
      <c r="G10" s="37"/>
      <c r="H10" s="37"/>
      <c r="I10" s="37"/>
      <c r="J10" s="37"/>
      <c r="K10" s="37"/>
      <c r="L10" s="37"/>
      <c r="M10" s="37"/>
      <c r="N10" s="37"/>
      <c r="O10" s="37"/>
    </row>
    <row r="11" spans="1:15" x14ac:dyDescent="0.25">
      <c r="A11" s="78">
        <v>2025</v>
      </c>
      <c r="B11" s="37" t="s">
        <v>23</v>
      </c>
      <c r="C11" s="37">
        <v>67</v>
      </c>
      <c r="D11" s="37">
        <v>64</v>
      </c>
      <c r="E11" s="37">
        <f t="shared" si="0"/>
        <v>131</v>
      </c>
      <c r="F11" s="37">
        <f t="shared" si="1"/>
        <v>74</v>
      </c>
      <c r="G11" s="37"/>
      <c r="H11" s="37"/>
      <c r="I11" s="37"/>
      <c r="J11" s="37"/>
      <c r="K11" s="37"/>
      <c r="L11" s="37"/>
      <c r="M11" s="37"/>
      <c r="N11" s="37"/>
      <c r="O11" s="37"/>
    </row>
    <row r="12" spans="1:15" x14ac:dyDescent="0.25">
      <c r="A12" s="78"/>
      <c r="B12" s="37" t="s">
        <v>24</v>
      </c>
      <c r="C12" s="37"/>
      <c r="D12" s="37"/>
      <c r="E12" s="37">
        <f t="shared" si="0"/>
        <v>0</v>
      </c>
      <c r="F12" s="37">
        <f t="shared" si="1"/>
        <v>0</v>
      </c>
      <c r="G12" s="37"/>
      <c r="H12" s="37"/>
      <c r="I12" s="37"/>
      <c r="J12" s="37"/>
      <c r="K12" s="37"/>
      <c r="L12" s="37"/>
      <c r="M12" s="37"/>
      <c r="N12" s="37"/>
      <c r="O12" s="37"/>
    </row>
    <row r="13" spans="1:1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</row>
  </sheetData>
  <mergeCells count="11">
    <mergeCell ref="A5:A6"/>
    <mergeCell ref="A7:A8"/>
    <mergeCell ref="A9:A10"/>
    <mergeCell ref="A11:A12"/>
    <mergeCell ref="A1:O1"/>
    <mergeCell ref="C2:E2"/>
    <mergeCell ref="A3:A4"/>
    <mergeCell ref="B3:B4"/>
    <mergeCell ref="C3:E3"/>
    <mergeCell ref="F3:F4"/>
    <mergeCell ref="G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43DE-5A78-4948-AD28-073ABC31B910}">
  <dimension ref="A1:O13"/>
  <sheetViews>
    <sheetView workbookViewId="0">
      <selection activeCell="J19" sqref="J19"/>
    </sheetView>
  </sheetViews>
  <sheetFormatPr baseColWidth="10" defaultRowHeight="15" x14ac:dyDescent="0.25"/>
  <cols>
    <col min="1" max="1" width="5.5703125" bestFit="1" customWidth="1"/>
    <col min="2" max="2" width="6" bestFit="1" customWidth="1"/>
    <col min="3" max="4" width="3.85546875" customWidth="1"/>
    <col min="5" max="5" width="4.42578125" bestFit="1" customWidth="1"/>
    <col min="6" max="6" width="9.7109375" customWidth="1"/>
    <col min="7" max="7" width="3.140625" customWidth="1"/>
    <col min="8" max="8" width="3.42578125" customWidth="1"/>
    <col min="9" max="9" width="6.85546875" customWidth="1"/>
    <col min="10" max="10" width="6.5703125" customWidth="1"/>
    <col min="11" max="11" width="6" customWidth="1"/>
    <col min="12" max="12" width="5.42578125" customWidth="1"/>
    <col min="13" max="13" width="5" customWidth="1"/>
    <col min="14" max="14" width="5.140625" customWidth="1"/>
    <col min="15" max="15" width="5.42578125" customWidth="1"/>
  </cols>
  <sheetData>
    <row r="1" spans="1:15" x14ac:dyDescent="0.25">
      <c r="A1" s="93" t="s">
        <v>45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x14ac:dyDescent="0.25">
      <c r="A2" s="38" t="s">
        <v>37</v>
      </c>
      <c r="B2" s="38"/>
      <c r="C2" s="88" t="s">
        <v>7</v>
      </c>
      <c r="D2" s="88"/>
      <c r="E2" s="8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x14ac:dyDescent="0.25">
      <c r="A3" s="80" t="s">
        <v>42</v>
      </c>
      <c r="B3" s="82" t="s">
        <v>41</v>
      </c>
      <c r="C3" s="78" t="s">
        <v>40</v>
      </c>
      <c r="D3" s="78"/>
      <c r="E3" s="78"/>
      <c r="F3" s="83" t="s">
        <v>44</v>
      </c>
      <c r="G3" s="85" t="s">
        <v>43</v>
      </c>
      <c r="H3" s="86"/>
      <c r="I3" s="87"/>
      <c r="J3" s="39"/>
      <c r="K3" s="37"/>
      <c r="L3" s="37"/>
      <c r="M3" s="37"/>
      <c r="N3" s="37"/>
      <c r="O3" s="37"/>
    </row>
    <row r="4" spans="1:15" x14ac:dyDescent="0.25">
      <c r="A4" s="81"/>
      <c r="B4" s="82"/>
      <c r="C4" s="37" t="s">
        <v>38</v>
      </c>
      <c r="D4" s="37" t="s">
        <v>49</v>
      </c>
      <c r="E4" s="37" t="s">
        <v>39</v>
      </c>
      <c r="F4" s="84"/>
      <c r="G4" s="41" t="s">
        <v>38</v>
      </c>
      <c r="H4" s="40" t="s">
        <v>49</v>
      </c>
      <c r="I4" s="35"/>
      <c r="K4" s="37"/>
      <c r="L4" s="37"/>
      <c r="M4" s="37"/>
      <c r="N4" s="37"/>
      <c r="O4" s="37"/>
    </row>
    <row r="5" spans="1:15" x14ac:dyDescent="0.25">
      <c r="A5" s="78">
        <v>2022</v>
      </c>
      <c r="B5" s="37" t="s">
        <v>23</v>
      </c>
      <c r="C5" s="37">
        <v>12</v>
      </c>
      <c r="D5" s="37">
        <v>19</v>
      </c>
      <c r="E5" s="37">
        <f>C5+D5</f>
        <v>31</v>
      </c>
      <c r="F5" s="37">
        <f>ROUNDUP((E5*0.5*0.5)/(((E5-1)*(0.05^2))/(1.282^2)+(0.5*0.5)),0)</f>
        <v>27</v>
      </c>
      <c r="G5" s="37"/>
      <c r="H5" s="37"/>
      <c r="I5" s="37"/>
      <c r="J5" s="37"/>
      <c r="K5" s="37"/>
      <c r="L5" s="37"/>
      <c r="M5" s="37"/>
      <c r="N5" s="37"/>
      <c r="O5" s="37"/>
    </row>
    <row r="6" spans="1:15" x14ac:dyDescent="0.25">
      <c r="A6" s="78"/>
      <c r="B6" s="37" t="s">
        <v>24</v>
      </c>
      <c r="C6" s="37">
        <v>4</v>
      </c>
      <c r="D6" s="37">
        <v>18</v>
      </c>
      <c r="E6" s="37">
        <f t="shared" ref="E6:E12" si="0">C6+D6</f>
        <v>22</v>
      </c>
      <c r="F6" s="37">
        <f t="shared" ref="F6:F12" si="1">ROUNDUP((E6*0.5*0.5)/(((E6-1)*(0.05^2))/(1.282^2)+(0.5*0.5)),0)</f>
        <v>20</v>
      </c>
      <c r="G6" s="37"/>
      <c r="H6" s="37"/>
      <c r="I6" s="37"/>
      <c r="J6" s="37"/>
      <c r="K6" s="37"/>
      <c r="L6" s="37"/>
      <c r="M6" s="37"/>
      <c r="N6" s="37"/>
      <c r="O6" s="37"/>
    </row>
    <row r="7" spans="1:15" x14ac:dyDescent="0.25">
      <c r="A7" s="78">
        <v>2023</v>
      </c>
      <c r="B7" s="37" t="s">
        <v>23</v>
      </c>
      <c r="C7" s="37">
        <v>8</v>
      </c>
      <c r="D7" s="37">
        <v>35</v>
      </c>
      <c r="E7" s="37">
        <f t="shared" si="0"/>
        <v>43</v>
      </c>
      <c r="F7" s="37">
        <f t="shared" si="1"/>
        <v>35</v>
      </c>
      <c r="G7" s="37"/>
      <c r="H7" s="37"/>
      <c r="I7" s="37"/>
      <c r="J7" s="37"/>
      <c r="K7" s="37"/>
      <c r="L7" s="37"/>
      <c r="M7" s="37"/>
      <c r="N7" s="37"/>
      <c r="O7" s="37"/>
    </row>
    <row r="8" spans="1:15" x14ac:dyDescent="0.25">
      <c r="A8" s="78"/>
      <c r="B8" s="37" t="s">
        <v>24</v>
      </c>
      <c r="C8" s="37">
        <v>8</v>
      </c>
      <c r="D8" s="37">
        <v>17</v>
      </c>
      <c r="E8" s="37">
        <f t="shared" si="0"/>
        <v>25</v>
      </c>
      <c r="F8" s="37">
        <f t="shared" si="1"/>
        <v>22</v>
      </c>
      <c r="G8" s="37"/>
      <c r="H8" s="37"/>
      <c r="I8" s="37"/>
      <c r="J8" s="37"/>
      <c r="K8" s="37"/>
      <c r="L8" s="37"/>
      <c r="M8" s="37"/>
      <c r="N8" s="37"/>
      <c r="O8" s="37"/>
    </row>
    <row r="9" spans="1:15" x14ac:dyDescent="0.25">
      <c r="A9" s="78">
        <v>2024</v>
      </c>
      <c r="B9" s="37" t="s">
        <v>23</v>
      </c>
      <c r="C9" s="37">
        <v>17</v>
      </c>
      <c r="D9" s="37">
        <v>31</v>
      </c>
      <c r="E9" s="37">
        <f t="shared" si="0"/>
        <v>48</v>
      </c>
      <c r="F9" s="37">
        <f t="shared" si="1"/>
        <v>38</v>
      </c>
      <c r="G9" s="37"/>
      <c r="H9" s="37"/>
      <c r="I9" s="37"/>
      <c r="J9" s="37"/>
      <c r="K9" s="37"/>
      <c r="L9" s="37"/>
      <c r="M9" s="37"/>
      <c r="N9" s="37"/>
      <c r="O9" s="37"/>
    </row>
    <row r="10" spans="1:15" x14ac:dyDescent="0.25">
      <c r="A10" s="78"/>
      <c r="B10" s="37" t="s">
        <v>24</v>
      </c>
      <c r="C10" s="37">
        <v>18</v>
      </c>
      <c r="D10" s="37">
        <v>23</v>
      </c>
      <c r="E10" s="37">
        <f t="shared" si="0"/>
        <v>41</v>
      </c>
      <c r="F10" s="37">
        <f t="shared" si="1"/>
        <v>33</v>
      </c>
      <c r="G10" s="37"/>
      <c r="H10" s="37"/>
      <c r="I10" s="37"/>
      <c r="J10" s="37"/>
      <c r="K10" s="37"/>
      <c r="L10" s="37"/>
      <c r="M10" s="37"/>
      <c r="N10" s="37"/>
      <c r="O10" s="37"/>
    </row>
    <row r="11" spans="1:15" x14ac:dyDescent="0.25">
      <c r="A11" s="78">
        <v>2025</v>
      </c>
      <c r="B11" s="37" t="s">
        <v>23</v>
      </c>
      <c r="C11" s="37">
        <v>9</v>
      </c>
      <c r="D11" s="37">
        <v>36</v>
      </c>
      <c r="E11" s="37">
        <f t="shared" si="0"/>
        <v>45</v>
      </c>
      <c r="F11" s="37">
        <f t="shared" si="1"/>
        <v>36</v>
      </c>
      <c r="G11" s="37"/>
      <c r="H11" s="37"/>
      <c r="I11" s="37"/>
      <c r="J11" s="37"/>
      <c r="K11" s="37"/>
      <c r="L11" s="37"/>
      <c r="M11" s="37"/>
      <c r="N11" s="37"/>
      <c r="O11" s="37"/>
    </row>
    <row r="12" spans="1:15" x14ac:dyDescent="0.25">
      <c r="A12" s="78"/>
      <c r="B12" s="37" t="s">
        <v>24</v>
      </c>
      <c r="C12" s="37"/>
      <c r="D12" s="37"/>
      <c r="E12" s="37">
        <f t="shared" si="0"/>
        <v>0</v>
      </c>
      <c r="F12" s="37">
        <f t="shared" si="1"/>
        <v>0</v>
      </c>
      <c r="G12" s="37"/>
      <c r="H12" s="37"/>
      <c r="I12" s="37"/>
      <c r="J12" s="37"/>
      <c r="K12" s="37"/>
      <c r="L12" s="37"/>
      <c r="M12" s="37"/>
      <c r="N12" s="37"/>
      <c r="O12" s="37"/>
    </row>
    <row r="13" spans="1:1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</row>
  </sheetData>
  <mergeCells count="11">
    <mergeCell ref="A5:A6"/>
    <mergeCell ref="A7:A8"/>
    <mergeCell ref="A9:A10"/>
    <mergeCell ref="A11:A12"/>
    <mergeCell ref="A1:O1"/>
    <mergeCell ref="C2:E2"/>
    <mergeCell ref="A3:A4"/>
    <mergeCell ref="B3:B4"/>
    <mergeCell ref="C3:E3"/>
    <mergeCell ref="F3:F4"/>
    <mergeCell ref="G3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339C-C5AA-4375-9917-62B22B2647A4}">
  <dimension ref="A1:O13"/>
  <sheetViews>
    <sheetView workbookViewId="0">
      <selection activeCell="F12" sqref="F12"/>
    </sheetView>
  </sheetViews>
  <sheetFormatPr baseColWidth="10" defaultRowHeight="15" x14ac:dyDescent="0.25"/>
  <cols>
    <col min="1" max="1" width="5.5703125" bestFit="1" customWidth="1"/>
    <col min="2" max="2" width="6" bestFit="1" customWidth="1"/>
    <col min="3" max="4" width="3.85546875" customWidth="1"/>
    <col min="5" max="5" width="4.42578125" bestFit="1" customWidth="1"/>
    <col min="6" max="6" width="9.7109375" customWidth="1"/>
    <col min="7" max="7" width="3.140625" customWidth="1"/>
    <col min="8" max="8" width="3.42578125" customWidth="1"/>
    <col min="9" max="9" width="6.85546875" customWidth="1"/>
    <col min="10" max="10" width="6.5703125" customWidth="1"/>
    <col min="11" max="11" width="6" customWidth="1"/>
    <col min="12" max="12" width="5.42578125" customWidth="1"/>
    <col min="13" max="13" width="5" customWidth="1"/>
    <col min="14" max="14" width="5.140625" customWidth="1"/>
    <col min="15" max="15" width="5.42578125" customWidth="1"/>
  </cols>
  <sheetData>
    <row r="1" spans="1:15" x14ac:dyDescent="0.25">
      <c r="A1" s="93" t="s">
        <v>45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x14ac:dyDescent="0.25">
      <c r="A2" s="38" t="s">
        <v>37</v>
      </c>
      <c r="B2" s="38"/>
      <c r="C2" s="88" t="s">
        <v>1</v>
      </c>
      <c r="D2" s="88"/>
      <c r="E2" s="8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x14ac:dyDescent="0.25">
      <c r="A3" s="80" t="s">
        <v>42</v>
      </c>
      <c r="B3" s="82" t="s">
        <v>41</v>
      </c>
      <c r="C3" s="78" t="s">
        <v>40</v>
      </c>
      <c r="D3" s="78"/>
      <c r="E3" s="78"/>
      <c r="F3" s="83" t="s">
        <v>44</v>
      </c>
      <c r="G3" s="85" t="s">
        <v>43</v>
      </c>
      <c r="H3" s="86"/>
      <c r="I3" s="87"/>
      <c r="J3" s="39"/>
      <c r="K3" s="37"/>
      <c r="L3" s="37"/>
      <c r="M3" s="37"/>
      <c r="N3" s="37"/>
      <c r="O3" s="37"/>
    </row>
    <row r="4" spans="1:15" x14ac:dyDescent="0.25">
      <c r="A4" s="81"/>
      <c r="B4" s="82"/>
      <c r="C4" s="37" t="s">
        <v>38</v>
      </c>
      <c r="D4" s="37" t="s">
        <v>49</v>
      </c>
      <c r="E4" s="37" t="s">
        <v>39</v>
      </c>
      <c r="F4" s="84"/>
      <c r="G4" s="41" t="s">
        <v>38</v>
      </c>
      <c r="H4" s="40" t="s">
        <v>49</v>
      </c>
      <c r="I4" s="35"/>
      <c r="K4" s="37"/>
      <c r="L4" s="37"/>
      <c r="M4" s="37"/>
      <c r="N4" s="37"/>
      <c r="O4" s="37"/>
    </row>
    <row r="5" spans="1:15" x14ac:dyDescent="0.25">
      <c r="A5" s="78">
        <v>2022</v>
      </c>
      <c r="B5" s="37" t="s">
        <v>23</v>
      </c>
      <c r="C5" s="37">
        <v>0</v>
      </c>
      <c r="D5" s="37">
        <v>8</v>
      </c>
      <c r="E5" s="37">
        <f>C5+D5</f>
        <v>8</v>
      </c>
      <c r="F5" s="37">
        <f>ROUNDUP((E5*0.5*0.5)/(((E5-1)*(0.05^2))/(1.282^2)+(0.5*0.5)),0)</f>
        <v>8</v>
      </c>
      <c r="G5" s="37"/>
      <c r="H5" s="37"/>
      <c r="I5" s="37"/>
      <c r="J5" s="37"/>
      <c r="K5" s="37"/>
      <c r="L5" s="37"/>
      <c r="M5" s="37"/>
      <c r="N5" s="37"/>
      <c r="O5" s="37"/>
    </row>
    <row r="6" spans="1:15" x14ac:dyDescent="0.25">
      <c r="A6" s="78"/>
      <c r="B6" s="37" t="s">
        <v>24</v>
      </c>
      <c r="C6" s="37">
        <v>4</v>
      </c>
      <c r="D6" s="37">
        <v>16</v>
      </c>
      <c r="E6" s="37">
        <f t="shared" ref="E6:E12" si="0">C6+D6</f>
        <v>20</v>
      </c>
      <c r="F6" s="37">
        <f t="shared" ref="F6:F12" si="1">ROUNDUP((E6*0.5*0.5)/(((E6-1)*(0.05^2))/(1.282^2)+(0.5*0.5)),0)</f>
        <v>18</v>
      </c>
      <c r="G6" s="37"/>
      <c r="H6" s="37"/>
      <c r="I6" s="37"/>
      <c r="J6" s="37"/>
      <c r="K6" s="37"/>
      <c r="L6" s="37"/>
      <c r="M6" s="37"/>
      <c r="N6" s="37"/>
      <c r="O6" s="37"/>
    </row>
    <row r="7" spans="1:15" x14ac:dyDescent="0.25">
      <c r="A7" s="78">
        <v>2023</v>
      </c>
      <c r="B7" s="37" t="s">
        <v>23</v>
      </c>
      <c r="C7" s="37">
        <v>4</v>
      </c>
      <c r="D7" s="37">
        <v>4</v>
      </c>
      <c r="E7" s="37">
        <f t="shared" si="0"/>
        <v>8</v>
      </c>
      <c r="F7" s="37">
        <f t="shared" si="1"/>
        <v>8</v>
      </c>
      <c r="G7" s="37"/>
      <c r="H7" s="37"/>
      <c r="I7" s="37"/>
      <c r="J7" s="37"/>
      <c r="K7" s="37"/>
      <c r="L7" s="37"/>
      <c r="M7" s="37"/>
      <c r="N7" s="37"/>
      <c r="O7" s="37"/>
    </row>
    <row r="8" spans="1:15" x14ac:dyDescent="0.25">
      <c r="A8" s="78"/>
      <c r="B8" s="37" t="s">
        <v>24</v>
      </c>
      <c r="C8" s="37">
        <v>8</v>
      </c>
      <c r="D8" s="37">
        <v>3</v>
      </c>
      <c r="E8" s="37">
        <f t="shared" si="0"/>
        <v>11</v>
      </c>
      <c r="F8" s="37">
        <f t="shared" si="1"/>
        <v>11</v>
      </c>
      <c r="G8" s="37"/>
      <c r="H8" s="37"/>
      <c r="I8" s="37"/>
      <c r="J8" s="37"/>
      <c r="K8" s="37"/>
      <c r="L8" s="37"/>
      <c r="M8" s="37"/>
      <c r="N8" s="37"/>
      <c r="O8" s="37"/>
    </row>
    <row r="9" spans="1:15" x14ac:dyDescent="0.25">
      <c r="A9" s="78">
        <v>2024</v>
      </c>
      <c r="B9" s="37" t="s">
        <v>23</v>
      </c>
      <c r="C9" s="37">
        <v>3</v>
      </c>
      <c r="D9" s="37">
        <v>1</v>
      </c>
      <c r="E9" s="37">
        <f t="shared" si="0"/>
        <v>4</v>
      </c>
      <c r="F9" s="37">
        <f t="shared" si="1"/>
        <v>4</v>
      </c>
      <c r="G9" s="37"/>
      <c r="H9" s="37"/>
      <c r="I9" s="37"/>
      <c r="J9" s="37"/>
      <c r="K9" s="37"/>
      <c r="L9" s="37"/>
      <c r="M9" s="37"/>
      <c r="N9" s="37"/>
      <c r="O9" s="37"/>
    </row>
    <row r="10" spans="1:15" x14ac:dyDescent="0.25">
      <c r="A10" s="78"/>
      <c r="B10" s="37" t="s">
        <v>24</v>
      </c>
      <c r="C10" s="37">
        <v>14</v>
      </c>
      <c r="D10" s="37">
        <v>9</v>
      </c>
      <c r="E10" s="37">
        <f t="shared" si="0"/>
        <v>23</v>
      </c>
      <c r="F10" s="37">
        <f t="shared" si="1"/>
        <v>21</v>
      </c>
      <c r="G10" s="37"/>
      <c r="H10" s="37"/>
      <c r="I10" s="37"/>
      <c r="J10" s="37"/>
      <c r="K10" s="37"/>
      <c r="L10" s="37"/>
      <c r="M10" s="37"/>
      <c r="N10" s="37"/>
      <c r="O10" s="37"/>
    </row>
    <row r="11" spans="1:15" x14ac:dyDescent="0.25">
      <c r="A11" s="78">
        <v>2025</v>
      </c>
      <c r="B11" s="37" t="s">
        <v>23</v>
      </c>
      <c r="C11" s="37">
        <v>4</v>
      </c>
      <c r="D11" s="37">
        <v>5</v>
      </c>
      <c r="E11" s="37">
        <f t="shared" si="0"/>
        <v>9</v>
      </c>
      <c r="F11" s="37">
        <f t="shared" si="1"/>
        <v>9</v>
      </c>
      <c r="G11" s="37"/>
      <c r="H11" s="37"/>
      <c r="I11" s="37"/>
      <c r="J11" s="37"/>
      <c r="K11" s="37"/>
      <c r="L11" s="37"/>
      <c r="M11" s="37"/>
      <c r="N11" s="37"/>
      <c r="O11" s="37"/>
    </row>
    <row r="12" spans="1:15" x14ac:dyDescent="0.25">
      <c r="A12" s="78"/>
      <c r="B12" s="37" t="s">
        <v>24</v>
      </c>
      <c r="C12" s="37"/>
      <c r="D12" s="37"/>
      <c r="E12" s="37">
        <f t="shared" si="0"/>
        <v>0</v>
      </c>
      <c r="F12" s="37">
        <f t="shared" si="1"/>
        <v>0</v>
      </c>
      <c r="G12" s="37"/>
      <c r="H12" s="37"/>
      <c r="I12" s="37"/>
      <c r="J12" s="37"/>
      <c r="K12" s="37"/>
      <c r="L12" s="37"/>
      <c r="M12" s="37"/>
      <c r="N12" s="37"/>
      <c r="O12" s="37"/>
    </row>
    <row r="13" spans="1:1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</row>
  </sheetData>
  <mergeCells count="11">
    <mergeCell ref="A5:A6"/>
    <mergeCell ref="A7:A8"/>
    <mergeCell ref="A9:A10"/>
    <mergeCell ref="A11:A12"/>
    <mergeCell ref="A1:O1"/>
    <mergeCell ref="C2:E2"/>
    <mergeCell ref="A3:A4"/>
    <mergeCell ref="B3:B4"/>
    <mergeCell ref="C3:E3"/>
    <mergeCell ref="F3:F4"/>
    <mergeCell ref="G3: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F0E2-2CAE-4594-982E-882C8A2287BA}">
  <dimension ref="A1:O13"/>
  <sheetViews>
    <sheetView workbookViewId="0">
      <selection activeCell="I18" sqref="I18"/>
    </sheetView>
  </sheetViews>
  <sheetFormatPr baseColWidth="10" defaultRowHeight="15" x14ac:dyDescent="0.25"/>
  <cols>
    <col min="1" max="1" width="5.5703125" bestFit="1" customWidth="1"/>
    <col min="2" max="2" width="6" bestFit="1" customWidth="1"/>
    <col min="3" max="4" width="3.85546875" customWidth="1"/>
    <col min="5" max="5" width="4.42578125" bestFit="1" customWidth="1"/>
    <col min="6" max="6" width="9.7109375" customWidth="1"/>
    <col min="7" max="7" width="3.140625" customWidth="1"/>
    <col min="8" max="8" width="3.42578125" customWidth="1"/>
    <col min="9" max="9" width="6.85546875" customWidth="1"/>
    <col min="10" max="10" width="6.5703125" customWidth="1"/>
    <col min="11" max="11" width="6" customWidth="1"/>
    <col min="12" max="12" width="5.42578125" customWidth="1"/>
    <col min="13" max="13" width="5" customWidth="1"/>
    <col min="14" max="14" width="5.140625" customWidth="1"/>
    <col min="15" max="15" width="5.42578125" customWidth="1"/>
  </cols>
  <sheetData>
    <row r="1" spans="1:15" x14ac:dyDescent="0.25">
      <c r="A1" s="93" t="s">
        <v>45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x14ac:dyDescent="0.25">
      <c r="A2" s="38" t="s">
        <v>37</v>
      </c>
      <c r="B2" s="38"/>
      <c r="C2" s="88" t="s">
        <v>19</v>
      </c>
      <c r="D2" s="88"/>
      <c r="E2" s="8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x14ac:dyDescent="0.25">
      <c r="A3" s="80" t="s">
        <v>42</v>
      </c>
      <c r="B3" s="82" t="s">
        <v>41</v>
      </c>
      <c r="C3" s="78" t="s">
        <v>40</v>
      </c>
      <c r="D3" s="78"/>
      <c r="E3" s="78"/>
      <c r="F3" s="83" t="s">
        <v>44</v>
      </c>
      <c r="G3" s="85" t="s">
        <v>43</v>
      </c>
      <c r="H3" s="86"/>
      <c r="I3" s="87"/>
      <c r="J3" s="39"/>
      <c r="K3" s="37"/>
      <c r="L3" s="37"/>
      <c r="M3" s="37"/>
      <c r="N3" s="37"/>
      <c r="O3" s="37"/>
    </row>
    <row r="4" spans="1:15" x14ac:dyDescent="0.25">
      <c r="A4" s="81"/>
      <c r="B4" s="82"/>
      <c r="C4" s="37" t="s">
        <v>38</v>
      </c>
      <c r="D4" s="37" t="s">
        <v>49</v>
      </c>
      <c r="E4" s="37" t="s">
        <v>39</v>
      </c>
      <c r="F4" s="84"/>
      <c r="G4" s="41" t="s">
        <v>38</v>
      </c>
      <c r="H4" s="40" t="s">
        <v>49</v>
      </c>
      <c r="I4" s="35"/>
      <c r="K4" s="37"/>
      <c r="L4" s="37"/>
      <c r="M4" s="37"/>
      <c r="N4" s="37"/>
      <c r="O4" s="37"/>
    </row>
    <row r="5" spans="1:15" x14ac:dyDescent="0.25">
      <c r="A5" s="78">
        <v>2022</v>
      </c>
      <c r="B5" s="37" t="s">
        <v>23</v>
      </c>
      <c r="C5" s="37">
        <v>25</v>
      </c>
      <c r="D5" s="37">
        <v>3</v>
      </c>
      <c r="E5" s="37">
        <f>SUM(C5:D5)</f>
        <v>28</v>
      </c>
      <c r="F5" s="37">
        <f>ROUNDUP((E5*0.5*0.5)/(((E5-1)*(0.05^2))/(1.282^2)+(0.5*0.5)),0)</f>
        <v>25</v>
      </c>
      <c r="G5" s="37"/>
      <c r="H5" s="37"/>
      <c r="I5" s="37"/>
      <c r="J5" s="37"/>
      <c r="K5" s="37"/>
      <c r="L5" s="37"/>
      <c r="M5" s="37"/>
      <c r="N5" s="37"/>
      <c r="O5" s="37"/>
    </row>
    <row r="6" spans="1:15" x14ac:dyDescent="0.25">
      <c r="A6" s="78"/>
      <c r="B6" s="37" t="s">
        <v>24</v>
      </c>
      <c r="C6" s="37">
        <v>44</v>
      </c>
      <c r="D6" s="37">
        <v>8</v>
      </c>
      <c r="E6" s="37">
        <f t="shared" ref="E6:E12" si="0">SUM(C6:D6)</f>
        <v>52</v>
      </c>
      <c r="F6" s="37">
        <f t="shared" ref="F6:F12" si="1">ROUNDUP((E6*0.5*0.5)/(((E6-1)*(0.05^2))/(1.282^2)+(0.5*0.5)),0)</f>
        <v>40</v>
      </c>
      <c r="G6" s="37"/>
      <c r="H6" s="37"/>
      <c r="I6" s="37"/>
      <c r="J6" s="37"/>
      <c r="K6" s="37"/>
      <c r="L6" s="37"/>
      <c r="M6" s="37"/>
      <c r="N6" s="37"/>
      <c r="O6" s="37"/>
    </row>
    <row r="7" spans="1:15" x14ac:dyDescent="0.25">
      <c r="A7" s="78">
        <v>2023</v>
      </c>
      <c r="B7" s="37" t="s">
        <v>23</v>
      </c>
      <c r="C7" s="37">
        <v>37</v>
      </c>
      <c r="D7" s="37">
        <v>11</v>
      </c>
      <c r="E7" s="37">
        <f t="shared" si="0"/>
        <v>48</v>
      </c>
      <c r="F7" s="37">
        <f t="shared" si="1"/>
        <v>38</v>
      </c>
      <c r="G7" s="37"/>
      <c r="H7" s="37"/>
      <c r="I7" s="37"/>
      <c r="J7" s="37"/>
      <c r="K7" s="37"/>
      <c r="L7" s="37"/>
      <c r="M7" s="37"/>
      <c r="N7" s="37"/>
      <c r="O7" s="37"/>
    </row>
    <row r="8" spans="1:15" x14ac:dyDescent="0.25">
      <c r="A8" s="78"/>
      <c r="B8" s="37" t="s">
        <v>24</v>
      </c>
      <c r="C8" s="37">
        <v>36</v>
      </c>
      <c r="D8" s="37">
        <v>7</v>
      </c>
      <c r="E8" s="37">
        <f t="shared" si="0"/>
        <v>43</v>
      </c>
      <c r="F8" s="37">
        <f t="shared" si="1"/>
        <v>35</v>
      </c>
      <c r="G8" s="37"/>
      <c r="H8" s="37"/>
      <c r="I8" s="37"/>
      <c r="J8" s="37"/>
      <c r="K8" s="37"/>
      <c r="L8" s="37"/>
      <c r="M8" s="37"/>
      <c r="N8" s="37"/>
      <c r="O8" s="37"/>
    </row>
    <row r="9" spans="1:15" x14ac:dyDescent="0.25">
      <c r="A9" s="78">
        <v>2024</v>
      </c>
      <c r="B9" s="37" t="s">
        <v>23</v>
      </c>
      <c r="C9" s="37">
        <v>21</v>
      </c>
      <c r="D9" s="37">
        <v>6</v>
      </c>
      <c r="E9" s="37">
        <f t="shared" si="0"/>
        <v>27</v>
      </c>
      <c r="F9" s="37">
        <f t="shared" si="1"/>
        <v>24</v>
      </c>
      <c r="G9" s="37"/>
      <c r="H9" s="37"/>
      <c r="I9" s="37"/>
      <c r="J9" s="37"/>
      <c r="K9" s="37"/>
      <c r="L9" s="37"/>
      <c r="M9" s="37"/>
      <c r="N9" s="37"/>
      <c r="O9" s="37"/>
    </row>
    <row r="10" spans="1:15" x14ac:dyDescent="0.25">
      <c r="A10" s="78"/>
      <c r="B10" s="37" t="s">
        <v>24</v>
      </c>
      <c r="C10" s="37">
        <v>44</v>
      </c>
      <c r="D10" s="37">
        <v>12</v>
      </c>
      <c r="E10" s="37">
        <f t="shared" si="0"/>
        <v>56</v>
      </c>
      <c r="F10" s="37">
        <f t="shared" si="1"/>
        <v>42</v>
      </c>
      <c r="G10" s="37"/>
      <c r="H10" s="37"/>
      <c r="I10" s="37"/>
      <c r="J10" s="37"/>
      <c r="K10" s="37"/>
      <c r="L10" s="37"/>
      <c r="M10" s="37"/>
      <c r="N10" s="37"/>
      <c r="O10" s="37"/>
    </row>
    <row r="11" spans="1:15" x14ac:dyDescent="0.25">
      <c r="A11" s="78">
        <v>2025</v>
      </c>
      <c r="B11" s="37" t="s">
        <v>23</v>
      </c>
      <c r="C11" s="37">
        <v>34</v>
      </c>
      <c r="D11" s="37">
        <v>5</v>
      </c>
      <c r="E11" s="37">
        <f t="shared" si="0"/>
        <v>39</v>
      </c>
      <c r="F11" s="37">
        <f t="shared" si="1"/>
        <v>32</v>
      </c>
      <c r="G11" s="37"/>
      <c r="H11" s="37"/>
      <c r="I11" s="37"/>
      <c r="J11" s="37"/>
      <c r="K11" s="37"/>
      <c r="L11" s="37"/>
      <c r="M11" s="37"/>
      <c r="N11" s="37"/>
      <c r="O11" s="37"/>
    </row>
    <row r="12" spans="1:15" x14ac:dyDescent="0.25">
      <c r="A12" s="78"/>
      <c r="B12" s="37" t="s">
        <v>24</v>
      </c>
      <c r="C12" s="37"/>
      <c r="D12" s="37"/>
      <c r="E12" s="37">
        <f t="shared" si="0"/>
        <v>0</v>
      </c>
      <c r="F12" s="37">
        <f t="shared" si="1"/>
        <v>0</v>
      </c>
      <c r="G12" s="37"/>
      <c r="H12" s="37"/>
      <c r="I12" s="37"/>
      <c r="J12" s="37"/>
      <c r="K12" s="37"/>
      <c r="L12" s="37"/>
      <c r="M12" s="37"/>
      <c r="N12" s="37"/>
      <c r="O12" s="37"/>
    </row>
    <row r="13" spans="1:1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</row>
  </sheetData>
  <mergeCells count="11">
    <mergeCell ref="A5:A6"/>
    <mergeCell ref="A7:A8"/>
    <mergeCell ref="A9:A10"/>
    <mergeCell ref="A11:A12"/>
    <mergeCell ref="A1:O1"/>
    <mergeCell ref="C2:E2"/>
    <mergeCell ref="A3:A4"/>
    <mergeCell ref="B3:B4"/>
    <mergeCell ref="C3:E3"/>
    <mergeCell ref="F3:F4"/>
    <mergeCell ref="G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E983-05E1-4DE3-8F8A-071E624A3231}">
  <dimension ref="A1:O13"/>
  <sheetViews>
    <sheetView workbookViewId="0">
      <selection activeCell="F18" sqref="F18"/>
    </sheetView>
  </sheetViews>
  <sheetFormatPr baseColWidth="10" defaultRowHeight="15" x14ac:dyDescent="0.25"/>
  <cols>
    <col min="1" max="1" width="5.5703125" bestFit="1" customWidth="1"/>
    <col min="2" max="2" width="6" bestFit="1" customWidth="1"/>
    <col min="3" max="3" width="4.42578125" customWidth="1"/>
    <col min="4" max="4" width="4.28515625" customWidth="1"/>
    <col min="5" max="5" width="5" customWidth="1"/>
    <col min="6" max="6" width="9.7109375" customWidth="1"/>
    <col min="7" max="7" width="3.140625" customWidth="1"/>
    <col min="8" max="8" width="3.42578125" customWidth="1"/>
    <col min="9" max="9" width="6.85546875" customWidth="1"/>
    <col min="10" max="10" width="6.5703125" customWidth="1"/>
    <col min="11" max="11" width="6" customWidth="1"/>
    <col min="12" max="12" width="5.42578125" customWidth="1"/>
    <col min="13" max="13" width="5" customWidth="1"/>
    <col min="14" max="14" width="5.140625" customWidth="1"/>
    <col min="15" max="15" width="5.42578125" customWidth="1"/>
  </cols>
  <sheetData>
    <row r="1" spans="1:15" x14ac:dyDescent="0.25">
      <c r="A1" s="93" t="s">
        <v>45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x14ac:dyDescent="0.25">
      <c r="A2" s="38" t="s">
        <v>37</v>
      </c>
      <c r="B2" s="38"/>
      <c r="C2" s="88" t="s">
        <v>4</v>
      </c>
      <c r="D2" s="88"/>
      <c r="E2" s="8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x14ac:dyDescent="0.25">
      <c r="A3" s="80" t="s">
        <v>42</v>
      </c>
      <c r="B3" s="82" t="s">
        <v>41</v>
      </c>
      <c r="C3" s="78" t="s">
        <v>40</v>
      </c>
      <c r="D3" s="78"/>
      <c r="E3" s="78"/>
      <c r="F3" s="83" t="s">
        <v>44</v>
      </c>
      <c r="G3" s="85" t="s">
        <v>43</v>
      </c>
      <c r="H3" s="86"/>
      <c r="I3" s="87"/>
      <c r="J3" s="39"/>
      <c r="K3" s="37"/>
      <c r="L3" s="37"/>
      <c r="M3" s="37"/>
      <c r="N3" s="37"/>
      <c r="O3" s="37"/>
    </row>
    <row r="4" spans="1:15" x14ac:dyDescent="0.25">
      <c r="A4" s="81"/>
      <c r="B4" s="82"/>
      <c r="C4" s="37" t="s">
        <v>38</v>
      </c>
      <c r="D4" s="37" t="s">
        <v>49</v>
      </c>
      <c r="E4" s="37" t="s">
        <v>39</v>
      </c>
      <c r="F4" s="84"/>
      <c r="G4" s="41" t="s">
        <v>38</v>
      </c>
      <c r="H4" s="40" t="s">
        <v>49</v>
      </c>
      <c r="I4" s="35"/>
      <c r="K4" s="37"/>
      <c r="L4" s="37"/>
      <c r="M4" s="37"/>
      <c r="N4" s="37"/>
      <c r="O4" s="37"/>
    </row>
    <row r="5" spans="1:15" x14ac:dyDescent="0.25">
      <c r="A5" s="78">
        <v>2022</v>
      </c>
      <c r="B5" s="37" t="s">
        <v>23</v>
      </c>
      <c r="C5" s="37">
        <v>44</v>
      </c>
      <c r="D5" s="37">
        <v>9</v>
      </c>
      <c r="E5" s="37">
        <f>SUM(C5:D5)</f>
        <v>53</v>
      </c>
      <c r="F5" s="37">
        <f>ROUNDUP((E5*0.5*0.5)/(((E5-1)*(0.05^2))/(1.282^2)+(0.5*0.5)),0)</f>
        <v>41</v>
      </c>
      <c r="G5" s="37"/>
      <c r="H5" s="37"/>
      <c r="I5" s="37"/>
      <c r="J5" s="37"/>
      <c r="K5" s="37"/>
      <c r="L5" s="37"/>
      <c r="M5" s="37"/>
      <c r="N5" s="37"/>
      <c r="O5" s="37"/>
    </row>
    <row r="6" spans="1:15" x14ac:dyDescent="0.25">
      <c r="A6" s="78"/>
      <c r="B6" s="37" t="s">
        <v>24</v>
      </c>
      <c r="C6" s="37">
        <v>32</v>
      </c>
      <c r="D6" s="37">
        <v>5</v>
      </c>
      <c r="E6" s="37">
        <f t="shared" ref="E6:E12" si="0">SUM(C6:D6)</f>
        <v>37</v>
      </c>
      <c r="F6" s="37">
        <f t="shared" ref="F6:F12" si="1">ROUNDUP((E6*0.5*0.5)/(((E6-1)*(0.05^2))/(1.282^2)+(0.5*0.5)),0)</f>
        <v>31</v>
      </c>
      <c r="G6" s="37"/>
      <c r="H6" s="37"/>
      <c r="I6" s="37"/>
      <c r="J6" s="37"/>
      <c r="K6" s="37"/>
      <c r="L6" s="37"/>
      <c r="M6" s="37"/>
      <c r="N6" s="37"/>
      <c r="O6" s="37"/>
    </row>
    <row r="7" spans="1:15" x14ac:dyDescent="0.25">
      <c r="A7" s="78">
        <v>2023</v>
      </c>
      <c r="B7" s="37" t="s">
        <v>23</v>
      </c>
      <c r="C7" s="37">
        <v>52</v>
      </c>
      <c r="D7" s="37">
        <v>4</v>
      </c>
      <c r="E7" s="37">
        <f t="shared" si="0"/>
        <v>56</v>
      </c>
      <c r="F7" s="37">
        <f t="shared" si="1"/>
        <v>42</v>
      </c>
      <c r="G7" s="37"/>
      <c r="H7" s="37"/>
      <c r="I7" s="37"/>
      <c r="J7" s="37"/>
      <c r="K7" s="37"/>
      <c r="L7" s="37"/>
      <c r="M7" s="37"/>
      <c r="N7" s="37"/>
      <c r="O7" s="37"/>
    </row>
    <row r="8" spans="1:15" x14ac:dyDescent="0.25">
      <c r="A8" s="78"/>
      <c r="B8" s="37" t="s">
        <v>24</v>
      </c>
      <c r="C8" s="37">
        <v>44</v>
      </c>
      <c r="D8" s="37">
        <v>11</v>
      </c>
      <c r="E8" s="37">
        <f t="shared" si="0"/>
        <v>55</v>
      </c>
      <c r="F8" s="37">
        <f t="shared" si="1"/>
        <v>42</v>
      </c>
      <c r="G8" s="37"/>
      <c r="H8" s="37"/>
      <c r="I8" s="37"/>
      <c r="J8" s="37"/>
      <c r="K8" s="37"/>
      <c r="L8" s="37"/>
      <c r="M8" s="37"/>
      <c r="N8" s="37"/>
      <c r="O8" s="37"/>
    </row>
    <row r="9" spans="1:15" x14ac:dyDescent="0.25">
      <c r="A9" s="78">
        <v>2024</v>
      </c>
      <c r="B9" s="37" t="s">
        <v>23</v>
      </c>
      <c r="C9" s="37">
        <v>48</v>
      </c>
      <c r="D9" s="37">
        <v>10</v>
      </c>
      <c r="E9" s="37">
        <f t="shared" si="0"/>
        <v>58</v>
      </c>
      <c r="F9" s="37">
        <f t="shared" si="1"/>
        <v>44</v>
      </c>
      <c r="G9" s="37"/>
      <c r="H9" s="37"/>
      <c r="I9" s="37"/>
      <c r="J9" s="37"/>
      <c r="K9" s="37"/>
      <c r="L9" s="37"/>
      <c r="M9" s="37"/>
      <c r="N9" s="37"/>
      <c r="O9" s="37"/>
    </row>
    <row r="10" spans="1:15" x14ac:dyDescent="0.25">
      <c r="A10" s="78"/>
      <c r="B10" s="37" t="s">
        <v>24</v>
      </c>
      <c r="C10" s="37">
        <v>40</v>
      </c>
      <c r="D10" s="37">
        <v>4</v>
      </c>
      <c r="E10" s="37">
        <f t="shared" si="0"/>
        <v>44</v>
      </c>
      <c r="F10" s="37">
        <f t="shared" si="1"/>
        <v>35</v>
      </c>
      <c r="G10" s="37"/>
      <c r="H10" s="37"/>
      <c r="I10" s="37"/>
      <c r="J10" s="37"/>
      <c r="K10" s="37"/>
      <c r="L10" s="37"/>
      <c r="M10" s="37"/>
      <c r="N10" s="37"/>
      <c r="O10" s="37"/>
    </row>
    <row r="11" spans="1:15" x14ac:dyDescent="0.25">
      <c r="A11" s="78">
        <v>2025</v>
      </c>
      <c r="B11" s="37" t="s">
        <v>23</v>
      </c>
      <c r="C11" s="37">
        <v>43</v>
      </c>
      <c r="D11" s="37">
        <v>8</v>
      </c>
      <c r="E11" s="37">
        <f t="shared" si="0"/>
        <v>51</v>
      </c>
      <c r="F11" s="37">
        <f t="shared" si="1"/>
        <v>40</v>
      </c>
      <c r="G11" s="37"/>
      <c r="H11" s="37"/>
      <c r="I11" s="37"/>
      <c r="J11" s="37"/>
      <c r="K11" s="37"/>
      <c r="L11" s="37"/>
      <c r="M11" s="37"/>
      <c r="N11" s="37"/>
      <c r="O11" s="37"/>
    </row>
    <row r="12" spans="1:15" x14ac:dyDescent="0.25">
      <c r="A12" s="78"/>
      <c r="B12" s="37" t="s">
        <v>24</v>
      </c>
      <c r="C12" s="37"/>
      <c r="D12" s="37"/>
      <c r="E12" s="37">
        <f t="shared" si="0"/>
        <v>0</v>
      </c>
      <c r="F12" s="37">
        <f t="shared" si="1"/>
        <v>0</v>
      </c>
      <c r="G12" s="37"/>
      <c r="H12" s="37"/>
      <c r="I12" s="37"/>
      <c r="J12" s="37"/>
      <c r="K12" s="37"/>
      <c r="L12" s="37"/>
      <c r="M12" s="37"/>
      <c r="N12" s="37"/>
      <c r="O12" s="37"/>
    </row>
    <row r="13" spans="1:1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</row>
  </sheetData>
  <mergeCells count="11">
    <mergeCell ref="A5:A6"/>
    <mergeCell ref="A7:A8"/>
    <mergeCell ref="A9:A10"/>
    <mergeCell ref="A11:A12"/>
    <mergeCell ref="A1:O1"/>
    <mergeCell ref="C2:E2"/>
    <mergeCell ref="A3:A4"/>
    <mergeCell ref="B3:B4"/>
    <mergeCell ref="C3:E3"/>
    <mergeCell ref="F3:F4"/>
    <mergeCell ref="G3:I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3A9A-F6D6-41D8-94F6-FEE0C1029F55}">
  <dimension ref="A1:O13"/>
  <sheetViews>
    <sheetView workbookViewId="0">
      <selection activeCell="F17" sqref="F17"/>
    </sheetView>
  </sheetViews>
  <sheetFormatPr baseColWidth="10" defaultRowHeight="15" x14ac:dyDescent="0.25"/>
  <cols>
    <col min="1" max="1" width="5.5703125" bestFit="1" customWidth="1"/>
    <col min="2" max="2" width="6" bestFit="1" customWidth="1"/>
    <col min="3" max="4" width="3.85546875" customWidth="1"/>
    <col min="5" max="5" width="4.42578125" bestFit="1" customWidth="1"/>
    <col min="6" max="6" width="9.7109375" customWidth="1"/>
    <col min="7" max="7" width="3.140625" customWidth="1"/>
    <col min="8" max="8" width="3.42578125" customWidth="1"/>
    <col min="9" max="9" width="6.85546875" customWidth="1"/>
    <col min="10" max="10" width="6.5703125" customWidth="1"/>
    <col min="11" max="11" width="6" customWidth="1"/>
    <col min="12" max="12" width="5.42578125" customWidth="1"/>
    <col min="13" max="13" width="5" customWidth="1"/>
    <col min="14" max="14" width="5.140625" customWidth="1"/>
    <col min="15" max="15" width="5.42578125" customWidth="1"/>
  </cols>
  <sheetData>
    <row r="1" spans="1:15" x14ac:dyDescent="0.25">
      <c r="A1" s="93" t="s">
        <v>45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x14ac:dyDescent="0.25">
      <c r="A2" s="38" t="s">
        <v>37</v>
      </c>
      <c r="B2" s="38"/>
      <c r="C2" s="42" t="s">
        <v>8</v>
      </c>
      <c r="D2" s="42"/>
      <c r="E2" s="42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x14ac:dyDescent="0.25">
      <c r="A3" s="80" t="s">
        <v>42</v>
      </c>
      <c r="B3" s="82" t="s">
        <v>41</v>
      </c>
      <c r="C3" s="78" t="s">
        <v>40</v>
      </c>
      <c r="D3" s="78"/>
      <c r="E3" s="78"/>
      <c r="F3" s="83" t="s">
        <v>44</v>
      </c>
      <c r="G3" s="85" t="s">
        <v>43</v>
      </c>
      <c r="H3" s="86"/>
      <c r="I3" s="87"/>
      <c r="J3" s="39"/>
      <c r="K3" s="37"/>
      <c r="L3" s="37"/>
      <c r="M3" s="37"/>
      <c r="N3" s="37"/>
      <c r="O3" s="37"/>
    </row>
    <row r="4" spans="1:15" x14ac:dyDescent="0.25">
      <c r="A4" s="81"/>
      <c r="B4" s="82"/>
      <c r="C4" s="37" t="s">
        <v>38</v>
      </c>
      <c r="D4" s="37" t="s">
        <v>49</v>
      </c>
      <c r="E4" s="37" t="s">
        <v>39</v>
      </c>
      <c r="F4" s="84"/>
      <c r="G4" s="41" t="s">
        <v>38</v>
      </c>
      <c r="H4" s="40" t="s">
        <v>49</v>
      </c>
      <c r="I4" s="35"/>
      <c r="K4" s="37"/>
      <c r="L4" s="37"/>
      <c r="M4" s="37"/>
      <c r="N4" s="37"/>
      <c r="O4" s="37"/>
    </row>
    <row r="5" spans="1:15" x14ac:dyDescent="0.25">
      <c r="A5" s="78">
        <v>2022</v>
      </c>
      <c r="B5" s="37" t="s">
        <v>23</v>
      </c>
      <c r="C5" s="37">
        <v>29</v>
      </c>
      <c r="D5" s="37">
        <v>22</v>
      </c>
      <c r="E5" s="37">
        <f>C5+D5</f>
        <v>51</v>
      </c>
      <c r="F5" s="37">
        <f>ROUNDUP((E5*0.5*0.5)/(((E5-1)*(0.05^2))/(1.282^2)+(0.5*0.5)),0)</f>
        <v>40</v>
      </c>
      <c r="G5" s="37"/>
      <c r="H5" s="37"/>
      <c r="I5" s="37"/>
      <c r="J5" s="37"/>
      <c r="K5" s="37"/>
      <c r="L5" s="37"/>
      <c r="M5" s="37"/>
      <c r="N5" s="37"/>
      <c r="O5" s="37"/>
    </row>
    <row r="6" spans="1:15" x14ac:dyDescent="0.25">
      <c r="A6" s="78"/>
      <c r="B6" s="37" t="s">
        <v>24</v>
      </c>
      <c r="C6" s="37">
        <v>26</v>
      </c>
      <c r="D6" s="37">
        <v>9</v>
      </c>
      <c r="E6" s="37">
        <f t="shared" ref="E6:E12" si="0">C6+D6</f>
        <v>35</v>
      </c>
      <c r="F6" s="37">
        <f t="shared" ref="F6:F12" si="1">ROUNDUP((E6*0.5*0.5)/(((E6-1)*(0.05^2))/(1.282^2)+(0.5*0.5)),0)</f>
        <v>30</v>
      </c>
      <c r="G6" s="37"/>
      <c r="H6" s="37"/>
      <c r="I6" s="37"/>
      <c r="J6" s="37"/>
      <c r="K6" s="37"/>
      <c r="L6" s="37"/>
      <c r="M6" s="37"/>
      <c r="N6" s="37"/>
      <c r="O6" s="37"/>
    </row>
    <row r="7" spans="1:15" x14ac:dyDescent="0.25">
      <c r="A7" s="78">
        <v>2023</v>
      </c>
      <c r="B7" s="37" t="s">
        <v>23</v>
      </c>
      <c r="C7" s="37">
        <v>52</v>
      </c>
      <c r="D7" s="37">
        <v>28</v>
      </c>
      <c r="E7" s="37">
        <f t="shared" si="0"/>
        <v>80</v>
      </c>
      <c r="F7" s="37">
        <f t="shared" si="1"/>
        <v>55</v>
      </c>
      <c r="G7" s="37"/>
      <c r="H7" s="37"/>
      <c r="I7" s="37"/>
      <c r="J7" s="37"/>
      <c r="K7" s="37"/>
      <c r="L7" s="37"/>
      <c r="M7" s="37"/>
      <c r="N7" s="37"/>
      <c r="O7" s="37"/>
    </row>
    <row r="8" spans="1:15" x14ac:dyDescent="0.25">
      <c r="A8" s="78"/>
      <c r="B8" s="37" t="s">
        <v>24</v>
      </c>
      <c r="C8" s="37">
        <v>23</v>
      </c>
      <c r="D8" s="37">
        <v>11</v>
      </c>
      <c r="E8" s="37">
        <f t="shared" si="0"/>
        <v>34</v>
      </c>
      <c r="F8" s="37">
        <f t="shared" si="1"/>
        <v>29</v>
      </c>
      <c r="G8" s="37"/>
      <c r="H8" s="37"/>
      <c r="I8" s="37"/>
      <c r="J8" s="37"/>
      <c r="K8" s="37"/>
      <c r="L8" s="37"/>
      <c r="M8" s="37"/>
      <c r="N8" s="37"/>
      <c r="O8" s="37"/>
    </row>
    <row r="9" spans="1:15" x14ac:dyDescent="0.25">
      <c r="A9" s="78">
        <v>2024</v>
      </c>
      <c r="B9" s="37" t="s">
        <v>23</v>
      </c>
      <c r="C9" s="37">
        <v>41</v>
      </c>
      <c r="D9" s="37">
        <v>29</v>
      </c>
      <c r="E9" s="37">
        <f t="shared" si="0"/>
        <v>70</v>
      </c>
      <c r="F9" s="37">
        <f t="shared" si="1"/>
        <v>50</v>
      </c>
      <c r="G9" s="37"/>
      <c r="H9" s="37"/>
      <c r="I9" s="37"/>
      <c r="J9" s="37"/>
      <c r="K9" s="37"/>
      <c r="L9" s="37"/>
      <c r="M9" s="37"/>
      <c r="N9" s="37"/>
      <c r="O9" s="37"/>
    </row>
    <row r="10" spans="1:15" x14ac:dyDescent="0.25">
      <c r="A10" s="78"/>
      <c r="B10" s="37" t="s">
        <v>24</v>
      </c>
      <c r="C10" s="37">
        <v>22</v>
      </c>
      <c r="D10" s="37">
        <v>5</v>
      </c>
      <c r="E10" s="37">
        <f t="shared" si="0"/>
        <v>27</v>
      </c>
      <c r="F10" s="37">
        <f t="shared" si="1"/>
        <v>24</v>
      </c>
      <c r="G10" s="37"/>
      <c r="H10" s="37"/>
      <c r="I10" s="37"/>
      <c r="J10" s="37"/>
      <c r="K10" s="37"/>
      <c r="L10" s="37"/>
      <c r="M10" s="37"/>
      <c r="N10" s="37"/>
      <c r="O10" s="37"/>
    </row>
    <row r="11" spans="1:15" x14ac:dyDescent="0.25">
      <c r="A11" s="78">
        <v>2025</v>
      </c>
      <c r="B11" s="37" t="s">
        <v>23</v>
      </c>
      <c r="C11" s="37">
        <v>37</v>
      </c>
      <c r="D11" s="37">
        <v>8</v>
      </c>
      <c r="E11" s="37">
        <f t="shared" si="0"/>
        <v>45</v>
      </c>
      <c r="F11" s="37">
        <f t="shared" si="1"/>
        <v>36</v>
      </c>
      <c r="G11" s="37"/>
      <c r="H11" s="37"/>
      <c r="I11" s="37"/>
      <c r="J11" s="37"/>
      <c r="K11" s="37"/>
      <c r="L11" s="37"/>
      <c r="M11" s="37"/>
      <c r="N11" s="37"/>
      <c r="O11" s="37"/>
    </row>
    <row r="12" spans="1:15" x14ac:dyDescent="0.25">
      <c r="A12" s="78"/>
      <c r="B12" s="37" t="s">
        <v>24</v>
      </c>
      <c r="C12" s="37"/>
      <c r="D12" s="37"/>
      <c r="E12" s="37">
        <f t="shared" si="0"/>
        <v>0</v>
      </c>
      <c r="F12" s="37">
        <f t="shared" si="1"/>
        <v>0</v>
      </c>
      <c r="G12" s="37"/>
      <c r="H12" s="37"/>
      <c r="I12" s="37"/>
      <c r="J12" s="37"/>
      <c r="K12" s="37"/>
      <c r="L12" s="37"/>
      <c r="M12" s="37"/>
      <c r="N12" s="37"/>
      <c r="O12" s="37"/>
    </row>
    <row r="13" spans="1:1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</row>
  </sheetData>
  <mergeCells count="10">
    <mergeCell ref="A5:A6"/>
    <mergeCell ref="A7:A8"/>
    <mergeCell ref="A9:A10"/>
    <mergeCell ref="A11:A12"/>
    <mergeCell ref="A1:O1"/>
    <mergeCell ref="A3:A4"/>
    <mergeCell ref="B3:B4"/>
    <mergeCell ref="C3:E3"/>
    <mergeCell ref="F3:F4"/>
    <mergeCell ref="G3:I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5D6B-ACC5-47A0-AFBE-152CC3521ACD}">
  <dimension ref="A1:O13"/>
  <sheetViews>
    <sheetView workbookViewId="0">
      <selection activeCell="G16" sqref="G16"/>
    </sheetView>
  </sheetViews>
  <sheetFormatPr baseColWidth="10" defaultRowHeight="15" x14ac:dyDescent="0.25"/>
  <cols>
    <col min="1" max="1" width="5.5703125" bestFit="1" customWidth="1"/>
    <col min="2" max="2" width="6" bestFit="1" customWidth="1"/>
    <col min="3" max="4" width="3.85546875" customWidth="1"/>
    <col min="5" max="5" width="4.42578125" bestFit="1" customWidth="1"/>
    <col min="6" max="6" width="9.7109375" customWidth="1"/>
    <col min="7" max="7" width="3.140625" customWidth="1"/>
    <col min="8" max="8" width="3.42578125" customWidth="1"/>
    <col min="9" max="9" width="6.85546875" customWidth="1"/>
    <col min="10" max="10" width="6.5703125" customWidth="1"/>
    <col min="11" max="11" width="6" customWidth="1"/>
    <col min="12" max="12" width="5.42578125" customWidth="1"/>
    <col min="13" max="13" width="5" customWidth="1"/>
    <col min="14" max="14" width="5.140625" customWidth="1"/>
    <col min="15" max="15" width="5.42578125" customWidth="1"/>
  </cols>
  <sheetData>
    <row r="1" spans="1:15" x14ac:dyDescent="0.25">
      <c r="A1" s="93" t="s">
        <v>45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x14ac:dyDescent="0.25">
      <c r="A2" s="38" t="s">
        <v>37</v>
      </c>
      <c r="B2" s="38"/>
      <c r="C2" s="42" t="s">
        <v>47</v>
      </c>
      <c r="D2" s="42"/>
      <c r="E2" s="42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x14ac:dyDescent="0.25">
      <c r="A3" s="80" t="s">
        <v>42</v>
      </c>
      <c r="B3" s="82" t="s">
        <v>41</v>
      </c>
      <c r="C3" s="78" t="s">
        <v>40</v>
      </c>
      <c r="D3" s="78"/>
      <c r="E3" s="78"/>
      <c r="F3" s="83" t="s">
        <v>44</v>
      </c>
      <c r="G3" s="85" t="s">
        <v>43</v>
      </c>
      <c r="H3" s="86"/>
      <c r="I3" s="87"/>
      <c r="J3" s="39"/>
      <c r="K3" s="37"/>
      <c r="L3" s="37"/>
      <c r="M3" s="37"/>
      <c r="N3" s="37"/>
      <c r="O3" s="37"/>
    </row>
    <row r="4" spans="1:15" x14ac:dyDescent="0.25">
      <c r="A4" s="81"/>
      <c r="B4" s="82"/>
      <c r="C4" s="37" t="s">
        <v>38</v>
      </c>
      <c r="D4" s="37" t="s">
        <v>49</v>
      </c>
      <c r="E4" s="37" t="s">
        <v>39</v>
      </c>
      <c r="F4" s="84"/>
      <c r="G4" s="41" t="s">
        <v>38</v>
      </c>
      <c r="H4" s="40" t="s">
        <v>49</v>
      </c>
      <c r="I4" s="35"/>
      <c r="K4" s="37"/>
      <c r="L4" s="37"/>
      <c r="M4" s="37"/>
      <c r="N4" s="37"/>
      <c r="O4" s="37"/>
    </row>
    <row r="5" spans="1:15" x14ac:dyDescent="0.25">
      <c r="A5" s="78">
        <v>2022</v>
      </c>
      <c r="B5" s="37" t="s">
        <v>23</v>
      </c>
      <c r="C5" s="37">
        <v>9</v>
      </c>
      <c r="D5" s="37">
        <v>5</v>
      </c>
      <c r="E5" s="37">
        <f>C5+D5</f>
        <v>14</v>
      </c>
      <c r="F5" s="37">
        <f>ROUNDUP((E5*0.5*0.5)/(((E5-1)*(0.05^2))/(1.282^2)+(0.5*0.5)),0)</f>
        <v>13</v>
      </c>
      <c r="G5" s="37"/>
      <c r="H5" s="37"/>
      <c r="I5" s="37"/>
      <c r="J5" s="37"/>
      <c r="K5" s="37"/>
      <c r="L5" s="37"/>
      <c r="M5" s="37"/>
      <c r="N5" s="37"/>
      <c r="O5" s="37"/>
    </row>
    <row r="6" spans="1:15" x14ac:dyDescent="0.25">
      <c r="A6" s="78"/>
      <c r="B6" s="37" t="s">
        <v>24</v>
      </c>
      <c r="C6" s="37">
        <v>0</v>
      </c>
      <c r="D6" s="37">
        <v>1</v>
      </c>
      <c r="E6" s="37">
        <f t="shared" ref="E6:E12" si="0">C6+D6</f>
        <v>1</v>
      </c>
      <c r="F6" s="37">
        <f t="shared" ref="F6:F12" si="1">ROUNDUP((E6*0.5*0.5)/(((E6-1)*(0.05^2))/(1.282^2)+(0.5*0.5)),0)</f>
        <v>1</v>
      </c>
      <c r="G6" s="37"/>
      <c r="H6" s="37"/>
      <c r="I6" s="37"/>
      <c r="J6" s="37"/>
      <c r="K6" s="37"/>
      <c r="L6" s="37"/>
      <c r="M6" s="37"/>
      <c r="N6" s="37"/>
      <c r="O6" s="37"/>
    </row>
    <row r="7" spans="1:15" x14ac:dyDescent="0.25">
      <c r="A7" s="78">
        <v>2023</v>
      </c>
      <c r="B7" s="37" t="s">
        <v>23</v>
      </c>
      <c r="C7" s="37">
        <v>7</v>
      </c>
      <c r="D7" s="37">
        <v>6</v>
      </c>
      <c r="E7" s="37">
        <f t="shared" si="0"/>
        <v>13</v>
      </c>
      <c r="F7" s="37">
        <f t="shared" si="1"/>
        <v>13</v>
      </c>
      <c r="G7" s="37"/>
      <c r="H7" s="37"/>
      <c r="I7" s="37"/>
      <c r="J7" s="37"/>
      <c r="K7" s="37"/>
      <c r="L7" s="37"/>
      <c r="M7" s="37"/>
      <c r="N7" s="37"/>
      <c r="O7" s="37"/>
    </row>
    <row r="8" spans="1:15" x14ac:dyDescent="0.25">
      <c r="A8" s="78"/>
      <c r="B8" s="37" t="s">
        <v>24</v>
      </c>
      <c r="C8" s="37">
        <v>0</v>
      </c>
      <c r="D8" s="37">
        <v>0</v>
      </c>
      <c r="E8" s="37">
        <f t="shared" si="0"/>
        <v>0</v>
      </c>
      <c r="F8" s="37">
        <f t="shared" si="1"/>
        <v>0</v>
      </c>
      <c r="G8" s="37"/>
      <c r="H8" s="37"/>
      <c r="I8" s="37"/>
      <c r="J8" s="37"/>
      <c r="K8" s="37"/>
      <c r="L8" s="37"/>
      <c r="M8" s="37"/>
      <c r="N8" s="37"/>
      <c r="O8" s="37"/>
    </row>
    <row r="9" spans="1:15" x14ac:dyDescent="0.25">
      <c r="A9" s="78">
        <v>2024</v>
      </c>
      <c r="B9" s="37" t="s">
        <v>23</v>
      </c>
      <c r="C9" s="37">
        <v>3</v>
      </c>
      <c r="D9" s="37">
        <v>1</v>
      </c>
      <c r="E9" s="37">
        <f t="shared" si="0"/>
        <v>4</v>
      </c>
      <c r="F9" s="37">
        <f t="shared" si="1"/>
        <v>4</v>
      </c>
      <c r="G9" s="37"/>
      <c r="H9" s="37"/>
      <c r="I9" s="37"/>
      <c r="J9" s="37"/>
      <c r="K9" s="37"/>
      <c r="L9" s="37"/>
      <c r="M9" s="37"/>
      <c r="N9" s="37"/>
      <c r="O9" s="37"/>
    </row>
    <row r="10" spans="1:15" x14ac:dyDescent="0.25">
      <c r="A10" s="78"/>
      <c r="B10" s="37" t="s">
        <v>24</v>
      </c>
      <c r="C10" s="37">
        <v>1</v>
      </c>
      <c r="D10" s="37">
        <v>0</v>
      </c>
      <c r="E10" s="37">
        <f t="shared" si="0"/>
        <v>1</v>
      </c>
      <c r="F10" s="37">
        <f t="shared" si="1"/>
        <v>1</v>
      </c>
      <c r="G10" s="37"/>
      <c r="H10" s="37"/>
      <c r="I10" s="37"/>
      <c r="J10" s="37"/>
      <c r="K10" s="37"/>
      <c r="L10" s="37"/>
      <c r="M10" s="37"/>
      <c r="N10" s="37"/>
      <c r="O10" s="37"/>
    </row>
    <row r="11" spans="1:15" x14ac:dyDescent="0.25">
      <c r="A11" s="78">
        <v>2025</v>
      </c>
      <c r="B11" s="37" t="s">
        <v>23</v>
      </c>
      <c r="C11" s="37">
        <v>0</v>
      </c>
      <c r="D11" s="37">
        <v>1</v>
      </c>
      <c r="E11" s="37">
        <f t="shared" si="0"/>
        <v>1</v>
      </c>
      <c r="F11" s="37">
        <f t="shared" si="1"/>
        <v>1</v>
      </c>
      <c r="G11" s="37"/>
      <c r="H11" s="37"/>
      <c r="I11" s="37"/>
      <c r="J11" s="37"/>
      <c r="K11" s="37"/>
      <c r="L11" s="37"/>
      <c r="M11" s="37"/>
      <c r="N11" s="37"/>
      <c r="O11" s="37"/>
    </row>
    <row r="12" spans="1:15" x14ac:dyDescent="0.25">
      <c r="A12" s="78"/>
      <c r="B12" s="37" t="s">
        <v>24</v>
      </c>
      <c r="C12" s="37"/>
      <c r="D12" s="37"/>
      <c r="E12" s="37">
        <f t="shared" si="0"/>
        <v>0</v>
      </c>
      <c r="F12" s="37">
        <f t="shared" si="1"/>
        <v>0</v>
      </c>
      <c r="G12" s="37"/>
      <c r="H12" s="37"/>
      <c r="I12" s="37"/>
      <c r="J12" s="37"/>
      <c r="K12" s="37"/>
      <c r="L12" s="37"/>
      <c r="M12" s="37"/>
      <c r="N12" s="37"/>
      <c r="O12" s="37"/>
    </row>
    <row r="13" spans="1:1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</row>
  </sheetData>
  <mergeCells count="10">
    <mergeCell ref="A5:A6"/>
    <mergeCell ref="A7:A8"/>
    <mergeCell ref="A9:A10"/>
    <mergeCell ref="A11:A12"/>
    <mergeCell ref="A1:O1"/>
    <mergeCell ref="A3:A4"/>
    <mergeCell ref="B3:B4"/>
    <mergeCell ref="C3:E3"/>
    <mergeCell ref="F3:F4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EGRESAD</vt:lpstr>
      <vt:lpstr>Respon</vt:lpstr>
      <vt:lpstr>CARRER</vt:lpstr>
      <vt:lpstr>ARQ</vt:lpstr>
      <vt:lpstr>ELE</vt:lpstr>
      <vt:lpstr>ELO</vt:lpstr>
      <vt:lpstr>IGE</vt:lpstr>
      <vt:lpstr>IND</vt:lpstr>
      <vt:lpstr>LOG</vt:lpstr>
      <vt:lpstr>MAT</vt:lpstr>
      <vt:lpstr>MEC</vt:lpstr>
      <vt:lpstr>MKT</vt:lpstr>
      <vt:lpstr>SIST</vt:lpstr>
      <vt:lpstr>MAES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M.I. Landin</dc:creator>
  <cp:lastModifiedBy>Depto. Gestión Tecnológica y Vinculación</cp:lastModifiedBy>
  <cp:lastPrinted>2025-10-02T18:38:10Z</cp:lastPrinted>
  <dcterms:created xsi:type="dcterms:W3CDTF">2025-02-07T17:19:22Z</dcterms:created>
  <dcterms:modified xsi:type="dcterms:W3CDTF">2025-11-10T17:04:37Z</dcterms:modified>
</cp:coreProperties>
</file>